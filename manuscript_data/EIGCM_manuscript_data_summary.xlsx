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2173de855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a4bd7b122e7410b"/>
    <x:sheet xmlns:r="http://schemas.openxmlformats.org/officeDocument/2006/relationships" name="Figure index" sheetId="2" r:id="Re773fe92902f4fda"/>
    <x:sheet xmlns:r="http://schemas.openxmlformats.org/officeDocument/2006/relationships" name="Cases and parameters" sheetId="3" r:id="R035bb35c65a04718"/>
    <x:sheet xmlns:r="http://schemas.openxmlformats.org/officeDocument/2006/relationships" name="DGP accuracy" sheetId="4" r:id="R23b02f0c3be247bc"/>
    <x:sheet xmlns:r="http://schemas.openxmlformats.org/officeDocument/2006/relationships" name="Event detection" sheetId="5" r:id="R4170cc2366a94cfb"/>
    <x:sheet xmlns:r="http://schemas.openxmlformats.org/officeDocument/2006/relationships" name="Stratified DGP" sheetId="6" r:id="Racaae3100fcf45b1"/>
    <x:sheet xmlns:r="http://schemas.openxmlformats.org/officeDocument/2006/relationships" name="Viewpoint RMSE" sheetId="7" r:id="R2200f286df074cc1"/>
    <x:sheet xmlns:r="http://schemas.openxmlformats.org/officeDocument/2006/relationships" name="Diagnostics" sheetId="8" r:id="Rc7cde806c8524770"/>
    <x:sheet xmlns:r="http://schemas.openxmlformats.org/officeDocument/2006/relationships" name="Runtime" sheetId="9" r:id="Rde4413c99ab74811"/>
    <x:sheet xmlns:r="http://schemas.openxmlformats.org/officeDocument/2006/relationships" name="Sharp prism" sheetId="10" r:id="Rc2c55234653547fd"/>
    <x:sheet xmlns:r="http://schemas.openxmlformats.org/officeDocument/2006/relationships" name="Source map" sheetId="11" r:id="R3832947dbfb6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#,##0"/>
    <x:numFmt numFmtId="202" formatCode="0.0000"/>
    <x:numFmt numFmtId="203" formatCode="0.0000000000"/>
    <x:numFmt numFmtId="204" formatCode="0.0%"/>
    <x:numFmt numFmtId="205" formatCode="0.00x"/>
    <x:numFmt numFmtId="206" formatCode="0.0x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475569"/>
      <x:name val="Carlito"/>
    </x:font>
    <x:font>
      <x:b/>
      <x:sz val="11"/>
      <x:color rgb="FF243447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i/>
      <x:sz val="9"/>
      <x:color rgb="FF7A4B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D9EEEA"/>
      </x:patternFill>
    </x:fill>
    <x:fill>
      <x:patternFill patternType="solid">
        <x:fgColor rgb="FF243447"/>
      </x:patternFill>
    </x:fill>
    <x:fill>
      <x:patternFill patternType="solid">
        <x:fgColor rgb="FFFFF3CD"/>
      </x:patternFill>
    </x:fill>
    <x:fill>
      <x:patternFill patternType="solid">
        <x:fgColor rgb="FFFCE8EC"/>
      </x:patternFill>
    </x:fill>
  </x:fills>
  <x:borders count="2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vertical="center" wrapText="1"/>
    </x:xf>
    <x:xf numFmtId="204" fontId="5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205" fontId="5" fillId="0" borderId="1" xfId="0" applyNumberFormat="1" applyFont="1" applyFill="1" applyBorder="1" applyAlignment="1">
      <x:alignment vertical="center" wrapText="1"/>
    </x:xf>
    <x:xf numFmtId="206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b0587f1614532" /><Relationship Type="http://schemas.openxmlformats.org/officeDocument/2006/relationships/theme" Target="/xl/theme/theme1.xml" Id="R69fd82f9dedf4dce" /><Relationship Type="http://schemas.openxmlformats.org/officeDocument/2006/relationships/sharedStrings" Target="/xl/sharedStrings.xml" Id="R92aff4dd4ed74bbf" /><Relationship Type="http://schemas.openxmlformats.org/officeDocument/2006/relationships/worksheet" Target="/xl/worksheets/sheet1.xml" Id="R8a4bd7b122e7410b" /><Relationship Type="http://schemas.openxmlformats.org/officeDocument/2006/relationships/worksheet" Target="/xl/worksheets/sheet2.xml" Id="Re773fe92902f4fda" /><Relationship Type="http://schemas.openxmlformats.org/officeDocument/2006/relationships/worksheet" Target="/xl/worksheets/sheet3.xml" Id="R035bb35c65a04718" /><Relationship Type="http://schemas.openxmlformats.org/officeDocument/2006/relationships/worksheet" Target="/xl/worksheets/sheet4.xml" Id="R23b02f0c3be247bc" /><Relationship Type="http://schemas.openxmlformats.org/officeDocument/2006/relationships/worksheet" Target="/xl/worksheets/sheet5.xml" Id="R4170cc2366a94cfb" /><Relationship Type="http://schemas.openxmlformats.org/officeDocument/2006/relationships/worksheet" Target="/xl/worksheets/sheet6.xml" Id="Racaae3100fcf45b1" /><Relationship Type="http://schemas.openxmlformats.org/officeDocument/2006/relationships/worksheet" Target="/xl/worksheets/sheet7.xml" Id="R2200f286df074cc1" /><Relationship Type="http://schemas.openxmlformats.org/officeDocument/2006/relationships/worksheet" Target="/xl/worksheets/sheet8.xml" Id="Rc7cde806c8524770" /><Relationship Type="http://schemas.openxmlformats.org/officeDocument/2006/relationships/worksheet" Target="/xl/worksheets/sheet9.xml" Id="Rde4413c99ab74811" /><Relationship Type="http://schemas.openxmlformats.org/officeDocument/2006/relationships/worksheet" Target="/xl/worksheets/sheet10.xml" Id="Rc2c55234653547fd" /><Relationship Type="http://schemas.openxmlformats.org/officeDocument/2006/relationships/worksheet" Target="/xl/worksheets/sheet11.xml" Id="R3832947dbfb64d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62" hidden="0" customWidth="1"/>
    <x:col min="3" max="3" width="6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2" t="str">
        <x:v>EIGCM manuscript data summary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Numeric data extracted from the corrected manuscript and matched analysis outputs</x:v>
      </x:c>
      <x:c r="B2" s="4"/>
      <x:c r="C2" s="4"/>
      <x:c r="D2" s="4"/>
      <x:c r="E2" s="4"/>
      <x:c r="F2" s="4"/>
      <x:c r="G2" s="4"/>
      <x:c r="H2" s="4"/>
    </x:row>
    <x:row r="4">
      <x:c r="A4" s="9" t="str">
        <x:v>Manuscript</x:v>
      </x:c>
      <x:c r="B4" s="10" t="str">
        <x:v>EIGCM_manuscript_results_redesigned V1_corrected_DGM.docx</x:v>
      </x:c>
    </x:row>
    <x:row r="5">
      <x:c r="A5" s="9" t="str">
        <x:v>Coverage</x:v>
      </x:c>
      <x:c r="B5" s="10" t="str">
        <x:v>Figures 1-18 and Tables 1-5</x:v>
      </x:c>
    </x:row>
    <x:row r="6">
      <x:c r="A6" s="9" t="str">
        <x:v>Repository</x:v>
      </x:c>
      <x:c r="B6" s="10" t="str">
        <x:v>https://github.com/a200626190111/EIGCM</x:v>
      </x:c>
    </x:row>
    <x:row r="7">
      <x:c r="A7" s="9" t="str">
        <x:v>Event threshold</x:v>
      </x:c>
      <x:c r="B7" s="10" t="str">
        <x:v>DGP &gt;= 0.38</x:v>
      </x:c>
    </x:row>
    <x:row r="8">
      <x:c r="A8" s="9" t="str">
        <x:v>Raw data</x:v>
      </x:c>
      <x:c r="B8" s="10" t="str">
        <x:v>Machine-readable CSV files are stored in the accompanying csv folder.</x:v>
      </x:c>
    </x:row>
    <x:row r="10" ht="22" customHeight="1">
      <x:c r="A10" s="6" t="str">
        <x:v>Checks before submission</x:v>
      </x:c>
      <x:c r="B10" s="6"/>
      <x:c r="C10" s="6"/>
    </x:row>
    <x:row r="11" ht="28" customHeight="1">
      <x:c r="A11" s="14" t="str">
        <x:v>Item</x:v>
      </x:c>
      <x:c r="B11" s="14" t="str">
        <x:v>Finding</x:v>
      </x:c>
      <x:c r="C11" s="14" t="str">
        <x:v>Recommended action</x:v>
      </x:c>
    </x:row>
    <x:row r="12" ht="54" customHeight="1">
      <x:c r="A12" s="19" t="str">
        <x:v>Fig. 10</x:v>
      </x:c>
      <x:c r="B12" s="19" t="str">
        <x:v>The local plotting script labels its hard-coded values as approximate visual readings.</x:v>
      </x:c>
      <x:c r="C12" s="19" t="str">
        <x:v>Use the exact two-view and multi-view metric CSVs in this package for redraws.</x:v>
      </x:c>
    </x:row>
    <x:row r="13" ht="54" customHeight="1">
      <x:c r="A13" s="19" t="str">
        <x:v>Fig. 17</x:v>
      </x:c>
      <x:c r="B13" s="19" t="str">
        <x:v>The final redrawing script synthesizes scatter coordinates while retaining reported RMSE and CCC values.</x:v>
      </x:c>
      <x:c r="C13" s="19" t="str">
        <x:v>Regenerate the scatter panels from fig17_saturation_source.csv before submission.</x:v>
      </x:c>
    </x:row>
    <x:row r="14" ht="54" customHeight="1">
      <x:c r="A14" s="19" t="str">
        <x:v>Table 5</x:v>
      </x:c>
      <x:c r="B14" s="19" t="str">
        <x:v>Baseline DGP values match the pooled 8,769-record C2 two-view dataset, while dense-sampling values come from a 4,376-record single-view dataset.</x:v>
      </x:c>
      <x:c r="C14" s="19" t="str">
        <x:v>Recalculate both configurations on a common record set or clarify the different scopes.</x:v>
      </x:c>
    </x:row>
    <x:row r="15" ht="54" customHeight="1">
      <x:c r="A15" s="19" t="str">
        <x:v>Fig. 13</x:v>
      </x:c>
      <x:c r="B15" s="19" t="str">
        <x:v>The manuscript states a maximum EIGCM P95 viewpoint RMSE of 0.0316; the current aligned C1 data give 0.0325 with a linear percentile definition.</x:v>
      </x:c>
      <x:c r="C15" s="19" t="str">
        <x:v>Confirm the final C1 source version and state the percentile/whisker convention explicitly.</x:v>
      </x:c>
    </x:row>
    <x:row r="16" ht="54" customHeight="1">
      <x:c r="A16" s="19" t="str">
        <x:v>Fig. 3</x:v>
      </x:c>
      <x:c r="B16" s="19" t="str">
        <x:v>The underlying directional BSDF sample table was not identified.</x:v>
      </x:c>
      <x:c r="C16" s="19" t="str">
        <x:v>Add the source BSDF/XML or exported directional table to the repository data package.</x:v>
      </x:c>
    </x:row>
  </x:sheetData>
  <x:mergeCells>
    <x:mergeCell ref="A1:H1"/>
    <x:mergeCell ref="A2:H2"/>
    <x:mergeCell ref="A10:C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48" hidden="0" customWidth="1"/>
    <x:col min="3" max="3" width="22" hidden="0" customWidth="1"/>
    <x:col min="4" max="4" width="62" hidden="0" customWidth="1"/>
  </x:cols>
  <x:sheetData>
    <x:row r="1" ht="28" customHeight="1">
      <x:c r="A1" s="2" t="str">
        <x:v>Figure and table index</x:v>
      </x:c>
      <x:c r="B1" s="2"/>
      <x:c r="C1" s="2"/>
      <x:c r="D1" s="2"/>
    </x:row>
    <x:row r="2" ht="22" customHeight="1">
      <x:c r="A2" s="4" t="str">
        <x:v>Coverage and source-data status for manuscript items</x:v>
      </x:c>
      <x:c r="B2" s="4"/>
      <x:c r="C2" s="4"/>
      <x:c r="D2" s="4"/>
    </x:row>
    <x:row r="4" ht="22" customHeight="1">
      <x:c r="A4" s="6" t="str">
        <x:v>Manuscript items</x:v>
      </x:c>
      <x:c r="B4" s="6"/>
      <x:c r="C4" s="6"/>
      <x:c r="D4" s="6"/>
    </x:row>
    <x:row r="5" ht="30" customHeight="1">
      <x:c r="A5" s="14" t="str">
        <x:v>item</x:v>
      </x:c>
      <x:c r="B5" s="14" t="str">
        <x:v>content</x:v>
      </x:c>
      <x:c r="C5" s="14" t="str">
        <x:v>display_type</x:v>
      </x:c>
      <x:c r="D5" s="14" t="str">
        <x:v>data_status</x:v>
      </x:c>
    </x:row>
    <x:row r="6" ht="34" customHeight="1">
      <x:c r="A6" s="18" t="str">
        <x:v>Fig. 1</x:v>
      </x:c>
      <x:c r="B6" s="18" t="str">
        <x:v>EIGCM annual multi-view workflow</x:v>
      </x:c>
      <x:c r="C6" s="18" t="str">
        <x:v>Schematic</x:v>
      </x:c>
      <x:c r="D6" s="18" t="str">
        <x:v>No numeric source data</x:v>
      </x:c>
    </x:row>
    <x:row r="7" ht="34" customHeight="1">
      <x:c r="A7" s="18" t="str">
        <x:v>Fig. 2</x:v>
      </x:c>
      <x:c r="B7" s="18" t="str">
        <x:v>Test model and viewpoints</x:v>
      </x:c>
      <x:c r="C7" s="18" t="str">
        <x:v>Geometry</x:v>
      </x:c>
      <x:c r="D7" s="18" t="str">
        <x:v>No plotted numeric data</x:v>
      </x:c>
    </x:row>
    <x:row r="8" ht="34" customHeight="1">
      <x:c r="A8" s="18" t="str">
        <x:v>Fig. 3</x:v>
      </x:c>
      <x:c r="B8" s="18" t="str">
        <x:v>Directional transmission distribution of PDRF</x:v>
      </x:c>
      <x:c r="C8" s="18" t="str">
        <x:v>BSDF distribution</x:v>
      </x:c>
      <x:c r="D8" s="18" t="str">
        <x:v>Embedded figure available; underlying directional dataset not identified</x:v>
      </x:c>
    </x:row>
    <x:row r="9" ht="34" customHeight="1">
      <x:c r="A9" s="18" t="str">
        <x:v>Fig. 4</x:v>
      </x:c>
      <x:c r="B9" s="18" t="str">
        <x:v>Representative viewpoints V1 and V2</x:v>
      </x:c>
      <x:c r="C9" s="18" t="str">
        <x:v>Geometry</x:v>
      </x:c>
      <x:c r="D9" s="18" t="str">
        <x:v>No plotted numeric data</x:v>
      </x:c>
    </x:row>
    <x:row r="10" ht="34" customHeight="1">
      <x:c r="A10" s="18" t="str">
        <x:v>Fig. 5</x:v>
      </x:c>
      <x:c r="B10" s="18" t="str">
        <x:v>Specular Venetian-blind geometry</x:v>
      </x:c>
      <x:c r="C10" s="18" t="str">
        <x:v>Geometry</x:v>
      </x:c>
      <x:c r="D10" s="18" t="str">
        <x:v>No plotted numeric data</x:v>
      </x:c>
    </x:row>
    <x:row r="11" ht="34" customHeight="1">
      <x:c r="A11" s="18" t="str">
        <x:v>Fig. 6</x:v>
      </x:c>
      <x:c r="B11" s="18" t="str">
        <x:v>C1 annual two-view DGP agreement</x:v>
      </x:c>
      <x:c r="C11" s="18" t="str">
        <x:v>Scatter</x:v>
      </x:c>
      <x:c r="D11" s="18" t="str">
        <x:v>Raw paired DGP and exact metrics included</x:v>
      </x:c>
    </x:row>
    <x:row r="12" ht="34" customHeight="1">
      <x:c r="A12" s="18" t="str">
        <x:v>Fig. 7</x:v>
      </x:c>
      <x:c r="B12" s="18" t="str">
        <x:v>C2 annual two-view DGP agreement</x:v>
      </x:c>
      <x:c r="C12" s="18" t="str">
        <x:v>Scatter</x:v>
      </x:c>
      <x:c r="D12" s="18" t="str">
        <x:v>Raw paired DGP and exact metrics included</x:v>
      </x:c>
    </x:row>
    <x:row r="13" ht="34" customHeight="1">
      <x:c r="A13" s="18" t="str">
        <x:v>Fig. 8</x:v>
      </x:c>
      <x:c r="B13" s="18" t="str">
        <x:v>C3 annual two-view DGP agreement</x:v>
      </x:c>
      <x:c r="C13" s="18" t="str">
        <x:v>Scatter</x:v>
      </x:c>
      <x:c r="D13" s="18" t="str">
        <x:v>Raw paired DGP and exact metrics included</x:v>
      </x:c>
    </x:row>
    <x:row r="14" ht="34" customHeight="1">
      <x:c r="A14" s="18" t="str">
        <x:v>Fig. 9</x:v>
      </x:c>
      <x:c r="B14" s="18" t="str">
        <x:v>C4 annual two-view DGP agreement</x:v>
      </x:c>
      <x:c r="C14" s="18" t="str">
        <x:v>Scatter</x:v>
      </x:c>
      <x:c r="D14" s="18" t="str">
        <x:v>Raw paired DGP and exact metrics included</x:v>
      </x:c>
    </x:row>
    <x:row r="15" ht="34" customHeight="1">
      <x:c r="A15" s="18" t="str">
        <x:v>Fig. 10</x:v>
      </x:c>
      <x:c r="B15" s="18" t="str">
        <x:v>Cross-case DGP MAE and RMSE</x:v>
      </x:c>
      <x:c r="C15" s="18" t="str">
        <x:v>Summary plot</x:v>
      </x:c>
      <x:c r="D15" s="18" t="str">
        <x:v>Exact metrics included; legacy plotting script used approximate visual readings</x:v>
      </x:c>
    </x:row>
    <x:row r="16" ht="34" customHeight="1">
      <x:c r="A16" s="18" t="str">
        <x:v>Fig. 11</x:v>
      </x:c>
      <x:c r="B16" s="18" t="str">
        <x:v>Glare-event recall and precision</x:v>
      </x:c>
      <x:c r="C16" s="18" t="str">
        <x:v>Heatmap</x:v>
      </x:c>
      <x:c r="D16" s="18" t="str">
        <x:v>Confusion counts and scores included; F2 recomputed in workbook</x:v>
      </x:c>
    </x:row>
    <x:row r="17" ht="34" customHeight="1">
      <x:c r="A17" s="18" t="str">
        <x:v>Fig. 12</x:v>
      </x:c>
      <x:c r="B17" s="18" t="str">
        <x:v>DGP RMSE by reference-DGP stratum</x:v>
      </x:c>
      <x:c r="C17" s="18" t="str">
        <x:v>Line plot</x:v>
      </x:c>
      <x:c r="D17" s="18" t="str">
        <x:v>Exact stratum metrics and counts included</x:v>
      </x:c>
    </x:row>
    <x:row r="18" ht="34" customHeight="1">
      <x:c r="A18" s="18" t="str">
        <x:v>Fig. 13</x:v>
      </x:c>
      <x:c r="B18" s="18" t="str">
        <x:v>Viewpoint-specific DGP RMSE</x:v>
      </x:c>
      <x:c r="C18" s="18" t="str">
        <x:v>Box plot</x:v>
      </x:c>
      <x:c r="D18" s="18" t="str">
        <x:v>Per-view RMSE recalculated from aligned source data</x:v>
      </x:c>
    </x:row>
    <x:row r="19" ht="34" customHeight="1">
      <x:c r="A19" s="18" t="str">
        <x:v>Fig. 14</x:v>
      </x:c>
      <x:c r="B19" s="18" t="str">
        <x:v>DGP contrast index comparison</x:v>
      </x:c>
      <x:c r="C19" s="18" t="str">
        <x:v>Scatter</x:v>
      </x:c>
      <x:c r="D19" s="18" t="str">
        <x:v>Raw contrast pairs and exact metrics included</x:v>
      </x:c>
    </x:row>
    <x:row r="20" ht="34" customHeight="1">
      <x:c r="A20" s="18" t="str">
        <x:v>Fig. 15</x:v>
      </x:c>
      <x:c r="B20" s="18" t="str">
        <x:v>C2 aggregate contrast comparison</x:v>
      </x:c>
      <x:c r="C20" s="18" t="str">
        <x:v>Scatter</x:v>
      </x:c>
      <x:c r="D20" s="18" t="str">
        <x:v>Reported metrics and solar-sampling parameter comparison included</x:v>
      </x:c>
    </x:row>
    <x:row r="21" ht="34" customHeight="1">
      <x:c r="A21" s="18" t="str">
        <x:v>Fig. 16</x:v>
      </x:c>
      <x:c r="B21" s="18" t="str">
        <x:v>Sharp-peak PDRF comparison</x:v>
      </x:c>
      <x:c r="C21" s="18" t="str">
        <x:v>Scatter and BSDF slice</x:v>
      </x:c>
      <x:c r="D21" s="18" t="str">
        <x:v>Raw two-view DGP data and exact metrics included</x:v>
      </x:c>
    </x:row>
    <x:row r="22" ht="34" customHeight="1">
      <x:c r="A22" s="18" t="str">
        <x:v>Fig. 17</x:v>
      </x:c>
      <x:c r="B22" s="18" t="str">
        <x:v>Saturation term and vertical illuminance diagnostics</x:v>
      </x:c>
      <x:c r="C22" s="18" t="str">
        <x:v>Scatter and dumbbell</x:v>
      </x:c>
      <x:c r="D22" s="18" t="str">
        <x:v>Raw saturation data and exact metrics included; final redrawing script used synthetic points</x:v>
      </x:c>
    </x:row>
    <x:row r="23" ht="34" customHeight="1">
      <x:c r="A23" s="18" t="str">
        <x:v>Fig. 18</x:v>
      </x:c>
      <x:c r="B23" s="18" t="str">
        <x:v>Klems and TensorTree runtime comparison</x:v>
      </x:c>
      <x:c r="C23" s="18" t="str">
        <x:v>Bar chart</x:v>
      </x:c>
      <x:c r="D23" s="18" t="str">
        <x:v>Stage-resolved and total timings included</x:v>
      </x:c>
    </x:row>
    <x:row r="24" ht="34" customHeight="1">
      <x:c r="A24" s="18" t="str">
        <x:v>Table 1</x:v>
      </x:c>
      <x:c r="B24" s="18" t="str">
        <x:v>Fenestration configurations</x:v>
      </x:c>
      <x:c r="C24" s="18" t="str">
        <x:v>Table</x:v>
      </x:c>
      <x:c r="D24" s="18" t="str">
        <x:v>Included</x:v>
      </x:c>
    </x:row>
    <x:row r="25" ht="34" customHeight="1">
      <x:c r="A25" s="18" t="str">
        <x:v>Table 2</x:v>
      </x:c>
      <x:c r="B25" s="18" t="str">
        <x:v>Raytraverse Balanced and High parameters</x:v>
      </x:c>
      <x:c r="C25" s="18" t="str">
        <x:v>Table</x:v>
      </x:c>
      <x:c r="D25" s="18" t="str">
        <x:v>Included</x:v>
      </x:c>
    </x:row>
    <x:row r="26" ht="34" customHeight="1">
      <x:c r="A26" s="18" t="str">
        <x:v>Table 3</x:v>
      </x:c>
      <x:c r="B26" s="18" t="str">
        <x:v>Single-view annual computation times</x:v>
      </x:c>
      <x:c r="C26" s="18" t="str">
        <x:v>Table</x:v>
      </x:c>
      <x:c r="D26" s="18" t="str">
        <x:v>Included</x:v>
      </x:c>
    </x:row>
    <x:row r="27" ht="34" customHeight="1">
      <x:c r="A27" s="18" t="str">
        <x:v>Table 4</x:v>
      </x:c>
      <x:c r="B27" s="18" t="str">
        <x:v>520-view computation times</x:v>
      </x:c>
      <x:c r="C27" s="18" t="str">
        <x:v>Table</x:v>
      </x:c>
      <x:c r="D27" s="18" t="str">
        <x:v>Included</x:v>
      </x:c>
    </x:row>
    <x:row r="28" ht="34" customHeight="1">
      <x:c r="A28" s="18" t="str">
        <x:v>Table 5</x:v>
      </x:c>
      <x:c r="B28" s="18" t="str">
        <x:v>Raytraverse solar-sampling comparison</x:v>
      </x:c>
      <x:c r="C28" s="18" t="str">
        <x:v>Table</x:v>
      </x:c>
      <x:c r="D28" s="18" t="str">
        <x:v>Reported values included; baseline and dense values come from different analysis scopes</x:v>
      </x:c>
    </x:row>
  </x:sheetData>
  <x:mergeCells>
    <x:mergeCell ref="A1:D1"/>
    <x:mergeCell ref="A2:D2"/>
    <x:mergeCell ref="A4:D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4" hidden="0" customWidth="1"/>
    <x:col min="3" max="3" width="19" hidden="0" customWidth="1"/>
    <x:col min="4" max="4" width="5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2" t="str">
        <x:v>Cases and simulation parameters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Fenestration systems, validation geometry and Raytraverse settings</x:v>
      </x:c>
      <x:c r="B2" s="4"/>
      <x:c r="C2" s="4"/>
      <x:c r="D2" s="4"/>
      <x:c r="E2" s="4"/>
      <x:c r="F2" s="4"/>
      <x:c r="G2" s="4"/>
      <x:c r="H2" s="4"/>
    </x:row>
    <x:row r="4" ht="22" customHeight="1">
      <x:c r="A4" s="6" t="str">
        <x:v>Fenestration systems (Table 1)</x:v>
      </x:c>
      <x:c r="B4" s="6"/>
      <x:c r="C4" s="6"/>
      <x:c r="D4" s="6"/>
    </x:row>
    <x:row r="5" ht="30" customHeight="1">
      <x:c r="A5" s="14" t="str">
        <x:v>case</x:v>
      </x:c>
      <x:c r="B5" s="14" t="str">
        <x:v>fenestration_system</x:v>
      </x:c>
      <x:c r="C5" s="14" t="str">
        <x:v>abbreviation</x:v>
      </x:c>
      <x:c r="D5" s="14" t="str">
        <x:v>dominant_challenge</x:v>
      </x:c>
    </x:row>
    <x:row r="6">
      <x:c r="A6" s="18" t="str">
        <x:v>C1</x:v>
      </x:c>
      <x:c r="B6" s="18" t="str">
        <x:v>Specular Venetian blinds</x:v>
      </x:c>
      <x:c r="C6" s="20" t="str">
        <x:v>SVB</x:v>
      </x:c>
      <x:c r="D6" s="18" t="str">
        <x:v>Directional solar reflection from specular slats</x:v>
      </x:c>
    </x:row>
    <x:row r="7">
      <x:c r="A7" s="18" t="str">
        <x:v>C2</x:v>
      </x:c>
      <x:c r="B7" s="18" t="str">
        <x:v>Prismatic daylight-redirecting fenestration</x:v>
      </x:c>
      <x:c r="C7" s="20" t="str">
        <x:v>PDRF</x:v>
      </x:c>
      <x:c r="D7" s="18" t="str">
        <x:v>Concentrated and redirected transmission peaks</x:v>
      </x:c>
    </x:row>
    <x:row r="8">
      <x:c r="A8" s="18" t="str">
        <x:v>C3</x:v>
      </x:c>
      <x:c r="B8" s="18" t="str">
        <x:v>Electrochromic glazing</x:v>
      </x:c>
      <x:c r="C8" s="20" t="str">
        <x:v>ECG</x:v>
      </x:c>
      <x:c r="D8" s="18" t="str">
        <x:v>State-dependent solar transmittance</x:v>
      </x:c>
    </x:row>
    <x:row r="9">
      <x:c r="A9" s="18" t="str">
        <x:v>C4</x:v>
      </x:c>
      <x:c r="B9" s="18" t="str">
        <x:v>Specular Venetian blinds with frosted glazing</x:v>
      </x:c>
      <x:c r="C9" s="20" t="str">
        <x:v>SVB-FG</x:v>
      </x:c>
      <x:c r="D9" s="18" t="str">
        <x:v>Coupled specular reflection and rough transmission</x:v>
      </x:c>
    </x:row>
    <x:row r="12" ht="22" customHeight="1">
      <x:c r="A12" s="6" t="str">
        <x:v>Validation setup</x:v>
      </x:c>
      <x:c r="B12" s="6"/>
      <x:c r="C12" s="6"/>
      <x:c r="D12" s="6"/>
    </x:row>
    <x:row r="13" ht="30" customHeight="1">
      <x:c r="A13" s="14" t="str">
        <x:v>Parameter</x:v>
      </x:c>
      <x:c r="B13" s="14" t="str">
        <x:v>Value</x:v>
      </x:c>
      <x:c r="C13" s="14" t="str">
        <x:v>Unit</x:v>
      </x:c>
      <x:c r="D13" s="14" t="str">
        <x:v>Comment</x:v>
      </x:c>
    </x:row>
    <x:row r="14">
      <x:c r="A14" s="18" t="str">
        <x:v>Viewpoint grid spacing</x:v>
      </x:c>
      <x:c r="B14" s="18" t="n">
        <x:v>0.5</x:v>
      </x:c>
      <x:c r="C14" s="18" t="str">
        <x:v>m</x:v>
      </x:c>
      <x:c r="D14" s="18" t="str">
        <x:v>Horizontal grid</x:v>
      </x:c>
    </x:row>
    <x:row r="15">
      <x:c r="A15" s="18" t="str">
        <x:v>Viewpoint height</x:v>
      </x:c>
      <x:c r="B15" s="18" t="n">
        <x:v>1.3</x:v>
      </x:c>
      <x:c r="C15" s="18" t="str">
        <x:v>m</x:v>
      </x:c>
      <x:c r="D15" s="18" t="str">
        <x:v>Above floor</x:v>
      </x:c>
    </x:row>
    <x:row r="16">
      <x:c r="A16" s="18" t="str">
        <x:v>Valid positions</x:v>
      </x:c>
      <x:c r="B16" s="18" t="n">
        <x:v>65</x:v>
      </x:c>
      <x:c r="C16" s="18" t="str">
        <x:v>positions</x:v>
      </x:c>
      <x:c r="D16" s="18" t="str">
        <x:v>After removing intersections</x:v>
      </x:c>
    </x:row>
    <x:row r="17">
      <x:c r="A17" s="18" t="str">
        <x:v>Directions per position</x:v>
      </x:c>
      <x:c r="B17" s="18" t="n">
        <x:v>8</x:v>
      </x:c>
      <x:c r="C17" s="18" t="str">
        <x:v>directions</x:v>
      </x:c>
      <x:c r="D17" s="18" t="str">
        <x:v>45-degree increments</x:v>
      </x:c>
    </x:row>
    <x:row r="18">
      <x:c r="A18" s="18" t="str">
        <x:v>Viewpoint-direction combinations</x:v>
      </x:c>
      <x:c r="B18" s="18" t="n">
        <x:v>520</x:v>
      </x:c>
      <x:c r="C18" s="18" t="str">
        <x:v>views</x:v>
      </x:c>
      <x:c r="D18" s="18" t="str">
        <x:v>65 x 8</x:v>
      </x:c>
    </x:row>
    <x:row r="19">
      <x:c r="A19" s="18" t="str">
        <x:v>Reference hours per view</x:v>
      </x:c>
      <x:c r="B19" s="18" t="n">
        <x:v>36</x:v>
      </x:c>
      <x:c r="C19" s="18" t="str">
        <x:v>hours</x:v>
      </x:c>
      <x:c r="D19" s="18" t="str">
        <x:v>Three representative days</x:v>
      </x:c>
    </x:row>
    <x:row r="20">
      <x:c r="A20" s="18" t="str">
        <x:v>West window width</x:v>
      </x:c>
      <x:c r="B20" s="18" t="n">
        <x:v>2</x:v>
      </x:c>
      <x:c r="C20" s="18" t="str">
        <x:v>m</x:v>
      </x:c>
      <x:c r="D20" s="18" t="str">
        <x:v>Model geometry</x:v>
      </x:c>
    </x:row>
    <x:row r="21">
      <x:c r="A21" s="18" t="str">
        <x:v>Site latitude</x:v>
      </x:c>
      <x:c r="B21" s="18" t="n">
        <x:v>31.4</x:v>
      </x:c>
      <x:c r="C21" s="18" t="str">
        <x:v>degrees N</x:v>
      </x:c>
      <x:c r="D21" s="18" t="str">
        <x:v>Shanghai</x:v>
      </x:c>
    </x:row>
    <x:row r="22">
      <x:c r="A22" s="18" t="str">
        <x:v>Site longitude</x:v>
      </x:c>
      <x:c r="B22" s="18" t="n">
        <x:v>121.45</x:v>
      </x:c>
      <x:c r="C22" s="18" t="str">
        <x:v>degrees E</x:v>
      </x:c>
      <x:c r="D22" s="18" t="str">
        <x:v>Shanghai</x:v>
      </x:c>
    </x:row>
    <x:row r="25" ht="22" customHeight="1">
      <x:c r="A25" s="6" t="str">
        <x:v>Raytraverse settings (Table 2)</x:v>
      </x:c>
      <x:c r="B25" s="6"/>
      <x:c r="C25" s="6"/>
    </x:row>
    <x:row r="26" ht="30" customHeight="1">
      <x:c r="A26" s="14" t="str">
        <x:v>parameter</x:v>
      </x:c>
      <x:c r="B26" s="14" t="str">
        <x:v>Balanced</x:v>
      </x:c>
      <x:c r="C26" s="14" t="str">
        <x:v>High</x:v>
      </x:c>
    </x:row>
    <x:row r="27">
      <x:c r="A27" s="18" t="str">
        <x:v>accuracy</x:v>
      </x:c>
      <x:c r="B27" s="18" t="n">
        <x:v>2</x:v>
      </x:c>
      <x:c r="C27" s="18" t="n">
        <x:v>1</x:v>
      </x:c>
    </x:row>
    <x:row r="28">
      <x:c r="A28" s="18" t="str">
        <x:v>skyres</x:v>
      </x:c>
      <x:c r="B28" s="18" t="n">
        <x:v>10</x:v>
      </x:c>
      <x:c r="C28" s="18" t="n">
        <x:v>15</x:v>
      </x:c>
    </x:row>
    <x:row r="29">
      <x:c r="A29" s="18" t="str">
        <x:v>idres</x:v>
      </x:c>
      <x:c r="B29" s="18" t="n">
        <x:v>16</x:v>
      </x:c>
      <x:c r="C29" s="18" t="n">
        <x:v>32</x:v>
      </x:c>
    </x:row>
    <x:row r="30">
      <x:c r="A30" s="18" t="str">
        <x:v>Sky-engine nlev</x:v>
      </x:c>
      <x:c r="B30" s="18" t="n">
        <x:v>4</x:v>
      </x:c>
      <x:c r="C30" s="18" t="n">
        <x:v>5</x:v>
      </x:c>
    </x:row>
    <x:row r="31">
      <x:c r="A31" s="18" t="str">
        <x:v>Sun-engine nlev</x:v>
      </x:c>
      <x:c r="B31" s="18" t="n">
        <x:v>5</x:v>
      </x:c>
      <x:c r="C31" s="18" t="n">
        <x:v>6</x:v>
      </x:c>
    </x:row>
    <x:row r="32">
      <x:c r="A32" s="18" t="str">
        <x:v>srcnlev</x:v>
      </x:c>
      <x:c r="B32" s="18" t="n">
        <x:v>2</x:v>
      </x:c>
      <x:c r="C32" s="18" t="n">
        <x:v>3</x:v>
      </x:c>
    </x:row>
    <x:row r="35" ht="22" customHeight="1">
      <x:c r="A35" s="6" t="str">
        <x:v>Material parameters reported in the Methods</x:v>
      </x:c>
      <x:c r="B35" s="6"/>
      <x:c r="C35" s="6"/>
      <x:c r="D35" s="6"/>
    </x:row>
    <x:row r="36" ht="30" customHeight="1">
      <x:c r="A36" s="14" t="str">
        <x:v>Parameter</x:v>
      </x:c>
      <x:c r="B36" s="14" t="str">
        <x:v>Value</x:v>
      </x:c>
      <x:c r="C36" s="14" t="str">
        <x:v>Unit</x:v>
      </x:c>
      <x:c r="D36" s="14" t="str">
        <x:v>Case</x:v>
      </x:c>
    </x:row>
    <x:row r="37">
      <x:c r="A37" s="18" t="str">
        <x:v>Blind RGB reflectance</x:v>
      </x:c>
      <x:c r="B37" s="18" t="n">
        <x:v>0.7</x:v>
      </x:c>
      <x:c r="C37" s="18" t="str">
        <x:v>-</x:v>
      </x:c>
      <x:c r="D37" s="18" t="str">
        <x:v>C1 and C4</x:v>
      </x:c>
    </x:row>
    <x:row r="38">
      <x:c r="A38" s="18" t="str">
        <x:v>Blind specularity</x:v>
      </x:c>
      <x:c r="B38" s="18" t="n">
        <x:v>0.21</x:v>
      </x:c>
      <x:c r="C38" s="18" t="str">
        <x:v>-</x:v>
      </x:c>
      <x:c r="D38" s="18" t="str">
        <x:v>C1 and C4</x:v>
      </x:c>
    </x:row>
    <x:row r="39">
      <x:c r="A39" s="18" t="str">
        <x:v>West slat angle</x:v>
      </x:c>
      <x:c r="B39" s="18" t="n">
        <x:v>-45</x:v>
      </x:c>
      <x:c r="C39" s="18" t="str">
        <x:v>degrees</x:v>
      </x:c>
      <x:c r="D39" s="18" t="str">
        <x:v>C1 and C4</x:v>
      </x:c>
    </x:row>
    <x:row r="40">
      <x:c r="A40" s="18" t="str">
        <x:v>South slat angle</x:v>
      </x:c>
      <x:c r="B40" s="18" t="n">
        <x:v>-30</x:v>
      </x:c>
      <x:c r="C40" s="18" t="str">
        <x:v>degrees</x:v>
      </x:c>
      <x:c r="D40" s="18" t="str">
        <x:v>C1 and C4</x:v>
      </x:c>
    </x:row>
    <x:row r="41">
      <x:c r="A41" s="18" t="str">
        <x:v>Electrochromic visible transmittance</x:v>
      </x:c>
      <x:c r="B41" s="18" t="n">
        <x:v>0.01</x:v>
      </x:c>
      <x:c r="C41" s="18" t="str">
        <x:v>fraction</x:v>
      </x:c>
      <x:c r="D41" s="18" t="str">
        <x:v>C3</x:v>
      </x:c>
    </x:row>
    <x:row r="42">
      <x:c r="A42" s="18" t="str">
        <x:v>trans R</x:v>
      </x:c>
      <x:c r="B42" s="18" t="n">
        <x:v>0.68</x:v>
      </x:c>
      <x:c r="C42" s="18" t="str">
        <x:v>-</x:v>
      </x:c>
      <x:c r="D42" s="18" t="str">
        <x:v>C4</x:v>
      </x:c>
    </x:row>
    <x:row r="43">
      <x:c r="A43" s="18" t="str">
        <x:v>trans G</x:v>
      </x:c>
      <x:c r="B43" s="18" t="n">
        <x:v>0.68</x:v>
      </x:c>
      <x:c r="C43" s="18" t="str">
        <x:v>-</x:v>
      </x:c>
      <x:c r="D43" s="18" t="str">
        <x:v>C4</x:v>
      </x:c>
    </x:row>
    <x:row r="44">
      <x:c r="A44" s="18" t="str">
        <x:v>trans B</x:v>
      </x:c>
      <x:c r="B44" s="18" t="n">
        <x:v>0.68</x:v>
      </x:c>
      <x:c r="C44" s="18" t="str">
        <x:v>-</x:v>
      </x:c>
      <x:c r="D44" s="18" t="str">
        <x:v>C4</x:v>
      </x:c>
    </x:row>
    <x:row r="45">
      <x:c r="A45" s="18" t="str">
        <x:v>trans specularity</x:v>
      </x:c>
      <x:c r="B45" s="18" t="n">
        <x:v>0.02</x:v>
      </x:c>
      <x:c r="C45" s="18" t="str">
        <x:v>-</x:v>
      </x:c>
      <x:c r="D45" s="18" t="str">
        <x:v>C4</x:v>
      </x:c>
    </x:row>
    <x:row r="46">
      <x:c r="A46" s="18" t="str">
        <x:v>trans roughness</x:v>
      </x:c>
      <x:c r="B46" s="18" t="n">
        <x:v>0.1</x:v>
      </x:c>
      <x:c r="C46" s="18" t="str">
        <x:v>-</x:v>
      </x:c>
      <x:c r="D46" s="18" t="str">
        <x:v>C4</x:v>
      </x:c>
    </x:row>
    <x:row r="47">
      <x:c r="A47" s="18" t="str">
        <x:v>trans transmissivity</x:v>
      </x:c>
      <x:c r="B47" s="18" t="n">
        <x:v>0.9</x:v>
      </x:c>
      <x:c r="C47" s="18" t="str">
        <x:v>-</x:v>
      </x:c>
      <x:c r="D47" s="18" t="str">
        <x:v>C4</x:v>
      </x:c>
    </x:row>
    <x:row r="48">
      <x:c r="A48" s="18" t="str">
        <x:v>trans specularly transmitted fraction</x:v>
      </x:c>
      <x:c r="B48" s="18" t="n">
        <x:v>0.2</x:v>
      </x:c>
      <x:c r="C48" s="18" t="str">
        <x:v>-</x:v>
      </x:c>
      <x:c r="D48" s="18" t="str">
        <x:v>C4</x:v>
      </x:c>
    </x:row>
  </x:sheetData>
  <x:mergeCells>
    <x:mergeCell ref="A1:H1"/>
    <x:mergeCell ref="A2:H2"/>
    <x:mergeCell ref="A4:D4"/>
    <x:mergeCell ref="A12:D12"/>
    <x:mergeCell ref="A25:C25"/>
    <x:mergeCell ref="A35:D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10" hidden="0" customWidth="1"/>
    <x:col min="3" max="3" width="26" hidden="0" customWidth="1"/>
    <x:col min="4" max="4" width="10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3" hidden="0" customWidth="1"/>
    <x:col min="13" max="13" width="13" hidden="0" customWidth="1"/>
    <x:col min="14" max="14" width="34" hidden="0" customWidth="1"/>
  </x:cols>
  <x:sheetData>
    <x:row r="1" ht="28" customHeight="1">
      <x:c r="A1" s="2" t="str">
        <x:v>DGP accuracy metrics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4" t="str">
        <x:v>Exact two-view and 520-view metrics used in Figs. 6-10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 ht="22" customHeight="1">
      <x:c r="A4" s="6" t="str">
        <x:v>Annual two-view metrics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40" customHeight="1">
      <x:c r="A5" s="14" t="str">
        <x:v>cohort</x:v>
      </x:c>
      <x:c r="B5" s="14" t="str">
        <x:v>case</x:v>
      </x:c>
      <x:c r="C5" s="14" t="str">
        <x:v>method</x:v>
      </x:c>
      <x:c r="D5" s="14" t="str">
        <x:v>n</x:v>
      </x:c>
      <x:c r="E5" s="14" t="str">
        <x:v>slope</x:v>
      </x:c>
      <x:c r="F5" s="14" t="str">
        <x:v>intercept</x:v>
      </x:c>
      <x:c r="G5" s="14" t="str">
        <x:v>R2</x:v>
      </x:c>
      <x:c r="H5" s="14" t="str">
        <x:v>MAE</x:v>
      </x:c>
      <x:c r="I5" s="14" t="str">
        <x:v>RMSE</x:v>
      </x:c>
      <x:c r="J5" s="14" t="str">
        <x:v>MBE</x:v>
      </x:c>
      <x:c r="K5" s="14" t="str">
        <x:v>CCC</x:v>
      </x:c>
      <x:c r="L5" s="14" t="str">
        <x:v>median_AE</x:v>
      </x:c>
      <x:c r="M5" s="14" t="str">
        <x:v>P95_AE</x:v>
      </x:c>
      <x:c r="N5" s="14" t="str">
        <x:v>source_file</x:v>
      </x:c>
    </x:row>
    <x:row r="6">
      <x:c r="A6" s="18" t="str">
        <x:v>Annual two-view</x:v>
      </x:c>
      <x:c r="B6" s="18" t="str">
        <x:v>C1</x:v>
      </x:c>
      <x:c r="C6" s="18" t="str">
        <x:v>EIGCM (MF1)</x:v>
      </x:c>
      <x:c r="D6" s="21" t="n">
        <x:v>8786</x:v>
      </x:c>
      <x:c r="E6" s="22" t="n">
        <x:v>1.0014712540766435</x:v>
      </x:c>
      <x:c r="F6" s="22" t="n">
        <x:v>-0.0031382213344747</x:v>
      </x:c>
      <x:c r="G6" s="22" t="n">
        <x:v>0.990571720868566</x:v>
      </x:c>
      <x:c r="H6" s="22" t="n">
        <x:v>0.0072263677669018</x:v>
      </x:c>
      <x:c r="I6" s="22" t="n">
        <x:v>0.019515820326102</x:v>
      </x:c>
      <x:c r="J6" s="22" t="n">
        <x:v>-0.0026639569997723</x:v>
      </x:c>
      <x:c r="K6" s="22" t="n">
        <x:v>0.9951658796959434</x:v>
      </x:c>
      <x:c r="L6" s="22"/>
      <x:c r="M6" s="22"/>
      <x:c r="N6" s="18" t="str">
        <x:v>C1_two_view_DGP_scatter_updated_metrics.csv</x:v>
      </x:c>
    </x:row>
    <x:row r="7">
      <x:c r="A7" s="18" t="str">
        <x:v>Annual two-view</x:v>
      </x:c>
      <x:c r="B7" s="18" t="str">
        <x:v>C1</x:v>
      </x:c>
      <x:c r="C7" s="18" t="str">
        <x:v>Jones dcglare</x:v>
      </x:c>
      <x:c r="D7" s="21" t="n">
        <x:v>8786</x:v>
      </x:c>
      <x:c r="E7" s="22" t="n">
        <x:v>0.8824240935919665</x:v>
      </x:c>
      <x:c r="F7" s="22" t="n">
        <x:v>0.0285710291628731</x:v>
      </x:c>
      <x:c r="G7" s="22" t="n">
        <x:v>0.7994880322667682</x:v>
      </x:c>
      <x:c r="H7" s="22" t="n">
        <x:v>0.036657392926327</x:v>
      </x:c>
      <x:c r="I7" s="22" t="n">
        <x:v>0.0909560510158644</x:v>
      </x:c>
      <x:c r="J7" s="22" t="n">
        <x:v>-0.0093300104432965</x:v>
      </x:c>
      <x:c r="K7" s="22" t="n">
        <x:v>0.8930571112005197</x:v>
      </x:c>
      <x:c r="L7" s="22"/>
      <x:c r="M7" s="22"/>
      <x:c r="N7" s="18" t="str">
        <x:v>C1_two_view_DGP_scatter_updated_metrics.csv</x:v>
      </x:c>
    </x:row>
    <x:row r="8">
      <x:c r="A8" s="18" t="str">
        <x:v>Annual two-view</x:v>
      </x:c>
      <x:c r="B8" s="18" t="str">
        <x:v>C1</x:v>
      </x:c>
      <x:c r="C8" s="18" t="str">
        <x:v>Raytraverse Balanced</x:v>
      </x:c>
      <x:c r="D8" s="21" t="n">
        <x:v>8786</x:v>
      </x:c>
      <x:c r="E8" s="22" t="n">
        <x:v>0.9231344913589524</x:v>
      </x:c>
      <x:c r="F8" s="22" t="n">
        <x:v>0.0233602176348293</x:v>
      </x:c>
      <x:c r="G8" s="22" t="n">
        <x:v>0.8344733709886942</x:v>
      </x:c>
      <x:c r="H8" s="22" t="n">
        <x:v>0.0226797796446882</x:v>
      </x:c>
      <x:c r="I8" s="22" t="n">
        <x:v>0.0827671819644542</x:v>
      </x:c>
      <x:c r="J8" s="22" t="n">
        <x:v>-0.0014176707638574</x:v>
      </x:c>
      <x:c r="K8" s="22" t="n">
        <x:v>0.91342161387745</x:v>
      </x:c>
      <x:c r="L8" s="22"/>
      <x:c r="M8" s="22"/>
      <x:c r="N8" s="18" t="str">
        <x:v>C1_two_view_DGP_scatter_updated_metrics.csv</x:v>
      </x:c>
    </x:row>
    <x:row r="9">
      <x:c r="A9" s="18" t="str">
        <x:v>Annual two-view</x:v>
      </x:c>
      <x:c r="B9" s="18" t="str">
        <x:v>C1</x:v>
      </x:c>
      <x:c r="C9" s="18" t="str">
        <x:v>Raytraverse High</x:v>
      </x:c>
      <x:c r="D9" s="21" t="n">
        <x:v>8786</x:v>
      </x:c>
      <x:c r="E9" s="22" t="n">
        <x:v>0.9213549377295068</x:v>
      </x:c>
      <x:c r="F9" s="22" t="n">
        <x:v>0.0274840668616385</x:v>
      </x:c>
      <x:c r="G9" s="22" t="n">
        <x:v>0.8359754048572435</x:v>
      </x:c>
      <x:c r="H9" s="22" t="n">
        <x:v>0.0204162338316915</x:v>
      </x:c>
      <x:c r="I9" s="22" t="n">
        <x:v>0.08226019594366</x:v>
      </x:c>
      <x:c r="J9" s="22" t="n">
        <x:v>0.0021325325974726</x:v>
      </x:c>
      <x:c r="K9" s="22" t="n">
        <x:v>0.914237327926292</x:v>
      </x:c>
      <x:c r="L9" s="22"/>
      <x:c r="M9" s="22"/>
      <x:c r="N9" s="18" t="str">
        <x:v>C1_two_view_DGP_scatter_updated_metrics.csv</x:v>
      </x:c>
    </x:row>
    <x:row r="10">
      <x:c r="A10" s="18" t="str">
        <x:v>Annual two-view</x:v>
      </x:c>
      <x:c r="B10" s="18" t="str">
        <x:v>C2</x:v>
      </x:c>
      <x:c r="C10" s="18" t="str">
        <x:v>EIGCM (MF1)</x:v>
      </x:c>
      <x:c r="D10" s="21" t="n">
        <x:v>8769</x:v>
      </x:c>
      <x:c r="E10" s="22" t="n">
        <x:v>1.0238438746443463</x:v>
      </x:c>
      <x:c r="F10" s="22" t="n">
        <x:v>-0.0092646862631377</x:v>
      </x:c>
      <x:c r="G10" s="22" t="n">
        <x:v>0.9965023395219268</x:v>
      </x:c>
      <x:c r="H10" s="22" t="n">
        <x:v>0.008827108290569</x:v>
      </x:c>
      <x:c r="I10" s="22" t="n">
        <x:v>0.0149023252044893</x:v>
      </x:c>
      <x:c r="J10" s="22" t="n">
        <x:v>-0.0000309809556391831</x:v>
      </x:c>
      <x:c r="K10" s="22" t="n">
        <x:v>0.997929826724065</x:v>
      </x:c>
      <x:c r="L10" s="22" t="n">
        <x:v>0.0053846999999999</x:v>
      </x:c>
      <x:c r="M10" s="22" t="n">
        <x:v>0.0307354</x:v>
      </x:c>
      <x:c r="N10" s="18" t="str">
        <x:v>prism_v1_v2_combined_manuscript_metrics.csv</x:v>
      </x:c>
    </x:row>
    <x:row r="11">
      <x:c r="A11" s="18" t="str">
        <x:v>Annual two-view</x:v>
      </x:c>
      <x:c r="B11" s="18" t="str">
        <x:v>C2</x:v>
      </x:c>
      <x:c r="C11" s="18" t="str">
        <x:v>Jones dcglare</x:v>
      </x:c>
      <x:c r="D11" s="21" t="n">
        <x:v>8769</x:v>
      </x:c>
      <x:c r="E11" s="22" t="n">
        <x:v>1.028691584877916</x:v>
      </x:c>
      <x:c r="F11" s="22" t="n">
        <x:v>-0.0246829260825767</x:v>
      </x:c>
      <x:c r="G11" s="22" t="n">
        <x:v>0.9731277931831224</x:v>
      </x:c>
      <x:c r="H11" s="22" t="n">
        <x:v>0.0218595818143459</x:v>
      </x:c>
      <x:c r="I11" s="22" t="n">
        <x:v>0.041892078081226</x:v>
      </x:c>
      <x:c r="J11" s="22" t="n">
        <x:v>-0.0135719114710913</x:v>
      </x:c>
      <x:c r="K11" s="22" t="n">
        <x:v>0.9839460369019696</x:v>
      </x:c>
      <x:c r="L11" s="22" t="n">
        <x:v>0.01230639</x:v>
      </x:c>
      <x:c r="M11" s="22" t="n">
        <x:v>0.1219936600000007</x:v>
      </x:c>
      <x:c r="N11" s="18" t="str">
        <x:v>prism_v1_v2_combined_manuscript_metrics.csv</x:v>
      </x:c>
    </x:row>
    <x:row r="12">
      <x:c r="A12" s="18" t="str">
        <x:v>Annual two-view</x:v>
      </x:c>
      <x:c r="B12" s="18" t="str">
        <x:v>C2</x:v>
      </x:c>
      <x:c r="C12" s="18" t="str">
        <x:v>Raytraverse Balanced</x:v>
      </x:c>
      <x:c r="D12" s="21" t="n">
        <x:v>8769</x:v>
      </x:c>
      <x:c r="E12" s="22" t="n">
        <x:v>0.97963628254815</x:v>
      </x:c>
      <x:c r="F12" s="22" t="n">
        <x:v>0.0052101833534534</x:v>
      </x:c>
      <x:c r="G12" s="22" t="n">
        <x:v>0.9762636253564744</x:v>
      </x:c>
      <x:c r="H12" s="22" t="n">
        <x:v>0.015573012512259</x:v>
      </x:c>
      <x:c r="I12" s="22" t="n">
        <x:v>0.0353371285460699</x:v>
      </x:c>
      <x:c r="J12" s="22" t="n">
        <x:v>-0.0026758070201847</x:v>
      </x:c>
      <x:c r="K12" s="22" t="n">
        <x:v>0.9879560858837716</x:v>
      </x:c>
      <x:c r="L12" s="22" t="n">
        <x:v>0.00600786</x:v>
      </x:c>
      <x:c r="M12" s="22" t="n">
        <x:v>0.0665680239999999</x:v>
      </x:c>
      <x:c r="N12" s="18" t="str">
        <x:v>prism_v1_v2_combined_manuscript_metrics.csv</x:v>
      </x:c>
    </x:row>
    <x:row r="13">
      <x:c r="A13" s="18" t="str">
        <x:v>Annual two-view</x:v>
      </x:c>
      <x:c r="B13" s="18" t="str">
        <x:v>C3</x:v>
      </x:c>
      <x:c r="C13" s="18" t="str">
        <x:v>EIGCM (MF1)</x:v>
      </x:c>
      <x:c r="D13" s="21" t="n">
        <x:v>8786</x:v>
      </x:c>
      <x:c r="E13" s="22" t="n">
        <x:v>1.0438392620201522</x:v>
      </x:c>
      <x:c r="F13" s="22" t="n">
        <x:v>-0.0070729243435592</x:v>
      </x:c>
      <x:c r="G13" s="22" t="n">
        <x:v>0.9940807423256331</x:v>
      </x:c>
      <x:c r="H13" s="22" t="n">
        <x:v>0.0008197884247666</x:v>
      </x:c>
      <x:c r="I13" s="22" t="n">
        <x:v>0.0047064321542813</x:v>
      </x:c>
      <x:c r="J13" s="22" t="n">
        <x:v>0.0003895937058957</x:v>
      </x:c>
      <x:c r="K13" s="22" t="n">
        <x:v>0.9959602364178818</x:v>
      </x:c>
      <x:c r="L13" s="22" t="n">
        <x:v>0.00005990000000000162</x:v>
      </x:c>
      <x:c r="M13" s="22" t="n">
        <x:v>0.0009595999999999</x:v>
      </x:c>
      <x:c r="N13" s="18" t="str">
        <x:v>ec_v1_v2_combined_manuscript_metrics.csv</x:v>
      </x:c>
    </x:row>
    <x:row r="14">
      <x:c r="A14" s="18" t="str">
        <x:v>Annual two-view</x:v>
      </x:c>
      <x:c r="B14" s="18" t="str">
        <x:v>C3</x:v>
      </x:c>
      <x:c r="C14" s="18" t="str">
        <x:v>Jones dcglare</x:v>
      </x:c>
      <x:c r="D14" s="21" t="n">
        <x:v>8786</x:v>
      </x:c>
      <x:c r="E14" s="22" t="n">
        <x:v>0.1252136666081175</x:v>
      </x:c>
      <x:c r="F14" s="22" t="n">
        <x:v>0.1344253670680198</x:v>
      </x:c>
      <x:c r="G14" s="22" t="n">
        <x:v>0.0343486487382378</x:v>
      </x:c>
      <x:c r="H14" s="22" t="n">
        <x:v>0.017024170177702</x:v>
      </x:c>
      <x:c r="I14" s="22" t="n">
        <x:v>0.0580046035256485</x:v>
      </x:c>
      <x:c r="J14" s="22" t="n">
        <x:v>-0.014484730901981</x:v>
      </x:c>
      <x:c r="K14" s="22" t="n">
        <x:v>0.1629688042123407</x:v>
      </x:c>
      <x:c r="L14" s="22" t="n">
        <x:v>0.0010923949218634</x:v>
      </x:c>
      <x:c r="M14" s="22" t="n">
        <x:v>0.159</x:v>
      </x:c>
      <x:c r="N14" s="18" t="str">
        <x:v>ec_v1_v2_combined_manuscript_metrics.csv</x:v>
      </x:c>
    </x:row>
    <x:row r="15">
      <x:c r="A15" s="18" t="str">
        <x:v>Annual two-view</x:v>
      </x:c>
      <x:c r="B15" s="18" t="str">
        <x:v>C3</x:v>
      </x:c>
      <x:c r="C15" s="18" t="str">
        <x:v>Raytraverse Balanced</x:v>
      </x:c>
      <x:c r="D15" s="21" t="n">
        <x:v>8786</x:v>
      </x:c>
      <x:c r="E15" s="22" t="n">
        <x:v>1.0100704422679558</x:v>
      </x:c>
      <x:c r="F15" s="22" t="n">
        <x:v>-0.0005132651652034</x:v>
      </x:c>
      <x:c r="G15" s="22" t="n">
        <x:v>0.9475898017448672</x:v>
      </x:c>
      <x:c r="H15" s="22" t="n">
        <x:v>0.0021329352124237</x:v>
      </x:c>
      <x:c r="I15" s="22" t="n">
        <x:v>0.0122194055682805</x:v>
      </x:c>
      <x:c r="J15" s="22" t="n">
        <x:v>0.0012009712002734</x:v>
      </x:c>
      <x:c r="K15" s="22" t="n">
        <x:v>0.9725203518207072</x:v>
      </x:c>
      <x:c r="L15" s="22" t="n">
        <x:v>0.0009863458214857</x:v>
      </x:c>
      <x:c r="M15" s="22" t="n">
        <x:v>0.0020248895260056</x:v>
      </x:c>
      <x:c r="N15" s="18" t="str">
        <x:v>ec_v1_v2_combined_manuscript_metrics.csv</x:v>
      </x:c>
    </x:row>
    <x:row r="16">
      <x:c r="A16" s="18" t="str">
        <x:v>Annual two-view</x:v>
      </x:c>
      <x:c r="B16" s="18" t="str">
        <x:v>C3</x:v>
      </x:c>
      <x:c r="C16" s="18" t="str">
        <x:v>Raytraverse High</x:v>
      </x:c>
      <x:c r="D16" s="21" t="n">
        <x:v>8786</x:v>
      </x:c>
      <x:c r="E16" s="22" t="n">
        <x:v>1.0140325789274731</x:v>
      </x:c>
      <x:c r="F16" s="22" t="n">
        <x:v>-0.0010171451874278</x:v>
      </x:c>
      <x:c r="G16" s="22" t="n">
        <x:v>0.9509213413714992</x:v>
      </x:c>
      <x:c r="H16" s="22" t="n">
        <x:v>0.0020987530444991</x:v>
      </x:c>
      <x:c r="I16" s="22" t="n">
        <x:v>0.0118835224502414</x:v>
      </x:c>
      <x:c r="J16" s="22" t="n">
        <x:v>0.0013715440537032</x:v>
      </x:c>
      <x:c r="K16" s="22" t="n">
        <x:v>0.9740705758748516</x:v>
      </x:c>
      <x:c r="L16" s="22" t="n">
        <x:v>0.0009814216915147</x:v>
      </x:c>
      <x:c r="M16" s="22" t="n">
        <x:v>0.0020462524385362</x:v>
      </x:c>
      <x:c r="N16" s="18" t="str">
        <x:v>ec_v1_v2_combined_manuscript_metrics.csv</x:v>
      </x:c>
    </x:row>
    <x:row r="17">
      <x:c r="A17" s="18" t="str">
        <x:v>Annual two-view</x:v>
      </x:c>
      <x:c r="B17" s="18" t="str">
        <x:v>C4</x:v>
      </x:c>
      <x:c r="C17" s="18" t="str">
        <x:v>EIGCM (MF1)</x:v>
      </x:c>
      <x:c r="D17" s="21" t="n">
        <x:v>8786</x:v>
      </x:c>
      <x:c r="E17" s="22" t="n">
        <x:v>0.9919025212594732</x:v>
      </x:c>
      <x:c r="F17" s="22" t="n">
        <x:v>-0.0013230913079004</x:v>
      </x:c>
      <x:c r="G17" s="22" t="n">
        <x:v>0.98486785791598</x:v>
      </x:c>
      <x:c r="H17" s="22" t="n">
        <x:v>0.0072630168563623</x:v>
      </x:c>
      <x:c r="I17" s="22" t="n">
        <x:v>0.0245131884963111</x:v>
      </x:c>
      <x:c r="J17" s="22" t="n">
        <x:v>-0.0039253745162758</x:v>
      </x:c>
      <x:c r="K17" s="22" t="n">
        <x:v>0.992206635737896</x:v>
      </x:c>
      <x:c r="L17" s="22" t="n">
        <x:v>0.0022326499999999</x:v>
      </x:c>
      <x:c r="M17" s="22" t="n">
        <x:v>0.0267869999999999</x:v>
      </x:c>
      <x:c r="N17" s="18" t="str">
        <x:v>trans_v1_v2_combined_manuscript_metrics.csv</x:v>
      </x:c>
    </x:row>
    <x:row r="18">
      <x:c r="A18" s="18" t="str">
        <x:v>Annual two-view</x:v>
      </x:c>
      <x:c r="B18" s="18" t="str">
        <x:v>C4</x:v>
      </x:c>
      <x:c r="C18" s="18" t="str">
        <x:v>Jones dcglare</x:v>
      </x:c>
      <x:c r="D18" s="21" t="n">
        <x:v>8786</x:v>
      </x:c>
      <x:c r="E18" s="22" t="n">
        <x:v>0.8879590392344514</x:v>
      </x:c>
      <x:c r="F18" s="22" t="n">
        <x:v>0.0257065237209005</x:v>
      </x:c>
      <x:c r="G18" s="22" t="n">
        <x:v>0.796829375436228</x:v>
      </x:c>
      <x:c r="H18" s="22" t="n">
        <x:v>0.036238006710676</x:v>
      </x:c>
      <x:c r="I18" s="22" t="n">
        <x:v>0.0913400125815872</x:v>
      </x:c>
      <x:c r="J18" s="22" t="n">
        <x:v>-0.0103000309355793</x:v>
      </x:c>
      <x:c r="K18" s="22" t="n">
        <x:v>0.8914079709910058</x:v>
      </x:c>
      <x:c r="L18" s="22" t="n">
        <x:v>0.00306767</x:v>
      </x:c>
      <x:c r="M18" s="22" t="n">
        <x:v>0.2212458749999999</x:v>
      </x:c>
      <x:c r="N18" s="18" t="str">
        <x:v>trans_v1_v2_combined_manuscript_metrics.csv</x:v>
      </x:c>
    </x:row>
    <x:row r="19">
      <x:c r="A19" s="18" t="str">
        <x:v>Annual two-view</x:v>
      </x:c>
      <x:c r="B19" s="18" t="str">
        <x:v>C4</x:v>
      </x:c>
      <x:c r="C19" s="18" t="str">
        <x:v>Raytraverse Balanced</x:v>
      </x:c>
      <x:c r="D19" s="21" t="n">
        <x:v>8786</x:v>
      </x:c>
      <x:c r="E19" s="22" t="n">
        <x:v>0.9250142394330764</x:v>
      </x:c>
      <x:c r="F19" s="22" t="n">
        <x:v>0.0257167030026439</x:v>
      </x:c>
      <x:c r="G19" s="22" t="n">
        <x:v>0.8327729091649217</x:v>
      </x:c>
      <x:c r="H19" s="22" t="n">
        <x:v>0.0212871638629638</x:v>
      </x:c>
      <x:c r="I19" s="22" t="n">
        <x:v>0.0827375784688901</x:v>
      </x:c>
      <x:c r="J19" s="22" t="n">
        <x:v>0.0016185618597769</x:v>
      </x:c>
      <x:c r="K19" s="22" t="n">
        <x:v>0.9124495673824444</x:v>
      </x:c>
      <x:c r="L19" s="22" t="n">
        <x:v>0.00183358</x:v>
      </x:c>
      <x:c r="M19" s="22" t="n">
        <x:v>0.1016007125</x:v>
      </x:c>
      <x:c r="N19" s="18" t="str">
        <x:v>trans_v1_v2_combined_manuscript_metrics.csv</x:v>
      </x:c>
    </x:row>
    <x:row r="20">
      <x:c r="A20" s="18" t="str">
        <x:v>Annual two-view</x:v>
      </x:c>
      <x:c r="B20" s="18" t="str">
        <x:v>C4</x:v>
      </x:c>
      <x:c r="C20" s="18" t="str">
        <x:v>Raytraverse High</x:v>
      </x:c>
      <x:c r="D20" s="21" t="n">
        <x:v>8786</x:v>
      </x:c>
      <x:c r="E20" s="22" t="n">
        <x:v>0.9162321258480284</x:v>
      </x:c>
      <x:c r="F20" s="22" t="n">
        <x:v>0.0272102945833032</x:v>
      </x:c>
      <x:c r="G20" s="22" t="n">
        <x:v>0.8284818128479072</x:v>
      </x:c>
      <x:c r="H20" s="22" t="n">
        <x:v>0.0203061023264284</x:v>
      </x:c>
      <x:c r="I20" s="22" t="n">
        <x:v>0.083503687161385</x:v>
      </x:c>
      <x:c r="J20" s="22" t="n">
        <x:v>0.0002898494309128</x:v>
      </x:c>
      <x:c r="K20" s="22" t="n">
        <x:v>0.9101889862330464</x:v>
      </x:c>
      <x:c r="L20" s="22" t="n">
        <x:v>0.001249435</x:v>
      </x:c>
      <x:c r="M20" s="22" t="n">
        <x:v>0.0807661325</x:v>
      </x:c>
      <x:c r="N20" s="18" t="str">
        <x:v>trans_v1_v2_combined_manuscript_metrics.csv</x:v>
      </x:c>
    </x:row>
    <x:row r="22" ht="32" customHeight="1">
      <x:c r="A22" s="25" t="str">
        <x:v>Use these exact metrics for redraws of Fig. 10; the legacy plotting script labels its hard-coded values as approximate.</x:v>
      </x:c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</x:row>
    <x:row r="24" ht="22" customHeight="1">
      <x:c r="A24" s="6" t="str">
        <x:v>520-view validation metrics</x:v>
      </x:c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 ht="40" customHeight="1">
      <x:c r="A25" s="14" t="str">
        <x:v>cohort</x:v>
      </x:c>
      <x:c r="B25" s="14" t="str">
        <x:v>case</x:v>
      </x:c>
      <x:c r="C25" s="14" t="str">
        <x:v>method</x:v>
      </x:c>
      <x:c r="D25" s="14" t="str">
        <x:v>n</x:v>
      </x:c>
      <x:c r="E25" s="14" t="str">
        <x:v>MAE</x:v>
      </x:c>
      <x:c r="F25" s="14" t="str">
        <x:v>RMSE</x:v>
      </x:c>
      <x:c r="G25" s="14" t="str">
        <x:v>MBE</x:v>
      </x:c>
      <x:c r="H25" s="14" t="str">
        <x:v>median_AE</x:v>
      </x:c>
      <x:c r="I25" s="14" t="str">
        <x:v>P95_AE</x:v>
      </x:c>
      <x:c r="J25" s="14" t="str">
        <x:v>max_AE</x:v>
      </x:c>
      <x:c r="K25" s="14" t="str">
        <x:v>CCC</x:v>
      </x:c>
      <x:c r="L25" s="14" t="str">
        <x:v>fit_R2</x:v>
      </x:c>
      <x:c r="M25" s="14" t="str">
        <x:v>slope</x:v>
      </x:c>
      <x:c r="N25" s="14" t="str">
        <x:v>intercept</x:v>
      </x:c>
      <x:c r="O25" s="14" t="str">
        <x:v>source_file</x:v>
      </x:c>
      <x:c r="P25" s="14" t="str">
        <x:v>P99_AE</x:v>
      </x:c>
    </x:row>
    <x:row r="26">
      <x:c r="A26" s="18" t="str">
        <x:v>520-view validation</x:v>
      </x:c>
      <x:c r="B26" s="18" t="str">
        <x:v>C1</x:v>
      </x:c>
      <x:c r="C26" s="18" t="str">
        <x:v>EIGCM (MF1)</x:v>
      </x:c>
      <x:c r="D26" s="21" t="n">
        <x:v>18720</x:v>
      </x:c>
      <x:c r="E26" s="22" t="n">
        <x:v>0.0065352119711538</x:v>
      </x:c>
      <x:c r="F26" s="22" t="n">
        <x:v>0.0177837990948815</x:v>
      </x:c>
      <x:c r="G26" s="22" t="n">
        <x:v>-0.0035855036271367</x:v>
      </x:c>
      <x:c r="H26" s="22" t="n">
        <x:v>0.0007386</x:v>
      </x:c>
      <x:c r="I26" s="22" t="n">
        <x:v>0.0259140999999999</x:v>
      </x:c>
      <x:c r="J26" s="18" t="n">
        <x:v>0.7100477000000001</x:v>
      </x:c>
      <x:c r="K26" s="22" t="n">
        <x:v>0.9947392615756042</x:v>
      </x:c>
      <x:c r="L26" s="22" t="n">
        <x:v>0.9899606065679464</x:v>
      </x:c>
      <x:c r="M26" s="22" t="n">
        <x:v>0.9894089891395004</x:v>
      </x:c>
      <x:c r="N26" s="22" t="n">
        <x:v>-0.0007308518577851</x:v>
      </x:c>
      <x:c r="O26" s="18" t="str">
        <x:v>dgp_metrics.csv</x:v>
      </x:c>
      <x:c r="P26" s="18"/>
    </x:row>
    <x:row r="27">
      <x:c r="A27" s="18" t="str">
        <x:v>520-view validation</x:v>
      </x:c>
      <x:c r="B27" s="18" t="str">
        <x:v>C1</x:v>
      </x:c>
      <x:c r="C27" s="18" t="str">
        <x:v>Jones dcglare</x:v>
      </x:c>
      <x:c r="D27" s="21" t="n">
        <x:v>18720</x:v>
      </x:c>
      <x:c r="E27" s="22" t="n">
        <x:v>0.0176727792148239</x:v>
      </x:c>
      <x:c r="F27" s="22" t="n">
        <x:v>0.0615096899800439</x:v>
      </x:c>
      <x:c r="G27" s="22" t="n">
        <x:v>0.0002518650738058</x:v>
      </x:c>
      <x:c r="H27" s="22" t="n">
        <x:v>0.0017383623203552</x:v>
      </x:c>
      <x:c r="I27" s="22" t="n">
        <x:v>0.0774245549999996</x:v>
      </x:c>
      <x:c r="J27" s="18" t="n">
        <x:v>0.6832005</x:v>
      </x:c>
      <x:c r="K27" s="22" t="n">
        <x:v>0.9366013765458264</x:v>
      </x:c>
      <x:c r="L27" s="22" t="n">
        <x:v>0.8773680296254537</x:v>
      </x:c>
      <x:c r="M27" s="22" t="n">
        <x:v>0.924754073782822</x:v>
      </x:c>
      <x:c r="N27" s="22" t="n">
        <x:v>0.0205333017791069</x:v>
      </x:c>
      <x:c r="O27" s="18" t="str">
        <x:v>dgp_metrics.csv</x:v>
      </x:c>
      <x:c r="P27" s="18"/>
    </x:row>
    <x:row r="28">
      <x:c r="A28" s="18" t="str">
        <x:v>520-view validation</x:v>
      </x:c>
      <x:c r="B28" s="18" t="str">
        <x:v>C1</x:v>
      </x:c>
      <x:c r="C28" s="18" t="str">
        <x:v>Raytraverse Balanced</x:v>
      </x:c>
      <x:c r="D28" s="21" t="n">
        <x:v>18720</x:v>
      </x:c>
      <x:c r="E28" s="22" t="n">
        <x:v>0.0223853744337278</x:v>
      </x:c>
      <x:c r="F28" s="22" t="n">
        <x:v>0.0829856804881847</x:v>
      </x:c>
      <x:c r="G28" s="22" t="n">
        <x:v>-0.0036907345617519</x:v>
      </x:c>
      <x:c r="H28" s="22" t="n">
        <x:v>0.002152360928424</x:v>
      </x:c>
      <x:c r="I28" s="22" t="n">
        <x:v>0.0811765380822951</x:v>
      </x:c>
      <x:c r="J28" s="18" t="n">
        <x:v>0.817752</x:v>
      </x:c>
      <x:c r="K28" s="22" t="n">
        <x:v>0.8838444024093789</x:v>
      </x:c>
      <x:c r="L28" s="22" t="n">
        <x:v>0.7818432146560768</x:v>
      </x:c>
      <x:c r="M28" s="22" t="n">
        <x:v>0.866974262656154</x:v>
      </x:c>
      <x:c r="N28" s="22" t="n">
        <x:v>0.0321644034868951</x:v>
      </x:c>
      <x:c r="O28" s="18" t="str">
        <x:v>dgp_metrics.csv</x:v>
      </x:c>
      <x:c r="P28" s="18"/>
    </x:row>
    <x:row r="29">
      <x:c r="A29" s="18" t="str">
        <x:v>520-view validation</x:v>
      </x:c>
      <x:c r="B29" s="18" t="str">
        <x:v>C1</x:v>
      </x:c>
      <x:c r="C29" s="18" t="str">
        <x:v>Raytraverse High</x:v>
      </x:c>
      <x:c r="D29" s="21" t="n">
        <x:v>18720</x:v>
      </x:c>
      <x:c r="E29" s="22" t="n">
        <x:v>0.0218905130844586</x:v>
      </x:c>
      <x:c r="F29" s="22" t="n">
        <x:v>0.0832363601623542</x:v>
      </x:c>
      <x:c r="G29" s="22" t="n">
        <x:v>-0.0021159479830037</x:v>
      </x:c>
      <x:c r="H29" s="22" t="n">
        <x:v>0.0017729862088107</x:v>
      </x:c>
      <x:c r="I29" s="22" t="n">
        <x:v>0.0811877390233476</x:v>
      </x:c>
      <x:c r="J29" s="18" t="n">
        <x:v>0.817752</x:v>
      </x:c>
      <x:c r="K29" s="22" t="n">
        <x:v>0.8843370108044175</x:v>
      </x:c>
      <x:c r="L29" s="22" t="n">
        <x:v>0.782233722329065</x:v>
      </x:c>
      <x:c r="M29" s="22" t="n">
        <x:v>0.876422995942405</x:v>
      </x:c>
      <x:c r="N29" s="22" t="n">
        <x:v>0.0311924224766939</x:v>
      </x:c>
      <x:c r="O29" s="18" t="str">
        <x:v>dgp_metrics.csv</x:v>
      </x:c>
      <x:c r="P29" s="18"/>
    </x:row>
    <x:row r="30">
      <x:c r="A30" s="18" t="str">
        <x:v>520-view validation</x:v>
      </x:c>
      <x:c r="B30" s="18" t="str">
        <x:v>C2</x:v>
      </x:c>
      <x:c r="C30" s="18" t="str">
        <x:v>EIGCM (MF1)</x:v>
      </x:c>
      <x:c r="D30" s="21" t="n">
        <x:v>18720</x:v>
      </x:c>
      <x:c r="E30" s="22" t="n">
        <x:v>0.0075047453899572</x:v>
      </x:c>
      <x:c r="F30" s="22" t="n">
        <x:v>0.0149663356224133</x:v>
      </x:c>
      <x:c r="G30" s="22" t="n">
        <x:v>-0.0043544671955128</x:v>
      </x:c>
      <x:c r="H30" s="22" t="n">
        <x:v>0.00294265</x:v>
      </x:c>
      <x:c r="I30" s="22" t="n">
        <x:v>0.0271521099999999</x:v>
      </x:c>
      <x:c r="J30" s="18"/>
      <x:c r="K30" s="22" t="n">
        <x:v>0.9973194468626656</x:v>
      </x:c>
      <x:c r="L30" s="22" t="n">
        <x:v>0.9951179679335624</x:v>
      </x:c>
      <x:c r="M30" s="22" t="n">
        <x:v>1.002075627023436</x:v>
      </x:c>
      <x:c r="N30" s="22" t="n">
        <x:v>-0.0050058452690034</x:v>
      </x:c>
      <x:c r="O30" s="18" t="str">
        <x:v>dgp_metrics.csv</x:v>
      </x:c>
      <x:c r="P30" s="18" t="n">
        <x:v>0.0480236890000001</x:v>
      </x:c>
    </x:row>
    <x:row r="31">
      <x:c r="A31" s="18" t="str">
        <x:v>520-view validation</x:v>
      </x:c>
      <x:c r="B31" s="18" t="str">
        <x:v>C2</x:v>
      </x:c>
      <x:c r="C31" s="18" t="str">
        <x:v>Jones dcglare</x:v>
      </x:c>
      <x:c r="D31" s="21" t="n">
        <x:v>18720</x:v>
      </x:c>
      <x:c r="E31" s="22" t="n">
        <x:v>0.0094798733400929</x:v>
      </x:c>
      <x:c r="F31" s="22" t="n">
        <x:v>0.0183304545168565</x:v>
      </x:c>
      <x:c r="G31" s="22" t="n">
        <x:v>-0.0040714662564878</x:v>
      </x:c>
      <x:c r="H31" s="22" t="n">
        <x:v>0.0030012550341704</x:v>
      </x:c>
      <x:c r="I31" s="22" t="n">
        <x:v>0.0352126249999999</x:v>
      </x:c>
      <x:c r="J31" s="18"/>
      <x:c r="K31" s="22" t="n">
        <x:v>0.9959453567475338</x:v>
      </x:c>
      <x:c r="L31" s="22" t="n">
        <x:v>0.9923181962889296</x:v>
      </x:c>
      <x:c r="M31" s="22" t="n">
        <x:v>0.99240513328375</x:v>
      </x:c>
      <x:c r="N31" s="22" t="n">
        <x:v>-0.001688027616408</x:v>
      </x:c>
      <x:c r="O31" s="18" t="str">
        <x:v>dgp_metrics.csv</x:v>
      </x:c>
      <x:c r="P31" s="18" t="n">
        <x:v>0.0629193710000006</x:v>
      </x:c>
    </x:row>
    <x:row r="32">
      <x:c r="A32" s="18" t="str">
        <x:v>520-view validation</x:v>
      </x:c>
      <x:c r="B32" s="18" t="str">
        <x:v>C2</x:v>
      </x:c>
      <x:c r="C32" s="18" t="str">
        <x:v>Raytraverse Balanced</x:v>
      </x:c>
      <x:c r="D32" s="21" t="n">
        <x:v>18720</x:v>
      </x:c>
      <x:c r="E32" s="22" t="n">
        <x:v>0.0242662382304829</x:v>
      </x:c>
      <x:c r="F32" s="22" t="n">
        <x:v>0.058305432681005</x:v>
      </x:c>
      <x:c r="G32" s="22" t="n">
        <x:v>-0.0128546987176744</x:v>
      </x:c>
      <x:c r="H32" s="22" t="n">
        <x:v>0.0051047609178037</x:v>
      </x:c>
      <x:c r="I32" s="22" t="n">
        <x:v>0.101351174524018</x:v>
      </x:c>
      <x:c r="J32" s="18"/>
      <x:c r="K32" s="22" t="n">
        <x:v>0.957176125559366</x:v>
      </x:c>
      <x:c r="L32" s="22" t="n">
        <x:v>0.9223011110397648</x:v>
      </x:c>
      <x:c r="M32" s="22" t="n">
        <x:v>0.9136579089106788</x:v>
      </x:c>
      <x:c r="N32" s="22" t="n">
        <x:v>0.0142413760201851</x:v>
      </x:c>
      <x:c r="O32" s="18" t="str">
        <x:v>dgp_metrics.csv</x:v>
      </x:c>
      <x:c r="P32" s="18" t="n">
        <x:v>0.2720534164518668</x:v>
      </x:c>
    </x:row>
    <x:row r="33">
      <x:c r="A33" s="18" t="str">
        <x:v>520-view validation</x:v>
      </x:c>
      <x:c r="B33" s="18" t="str">
        <x:v>C3</x:v>
      </x:c>
      <x:c r="C33" s="18" t="str">
        <x:v>EIGCM (MF1)</x:v>
      </x:c>
      <x:c r="D33" s="21" t="n">
        <x:v>18720</x:v>
      </x:c>
      <x:c r="E33" s="22" t="n">
        <x:v>0.000801139417735</x:v>
      </x:c>
      <x:c r="F33" s="22" t="n">
        <x:v>0.0053444222274116</x:v>
      </x:c>
      <x:c r="G33" s="22" t="n">
        <x:v>-0.000010343424145298984</x:v>
      </x:c>
      <x:c r="H33" s="22" t="n">
        <x:v>0.000045400000000001</x:v>
      </x:c>
      <x:c r="I33" s="22" t="n">
        <x:v>0.0018541249999999</x:v>
      </x:c>
      <x:c r="J33" s="18" t="n">
        <x:v>0.1716919</x:v>
      </x:c>
      <x:c r="K33" s="22" t="n">
        <x:v>0.9962001770388628</x:v>
      </x:c>
      <x:c r="L33" s="22" t="n">
        <x:v>0.9924828371481392</x:v>
      </x:c>
      <x:c r="M33" s="22" t="n">
        <x:v>1.0045159408398991</x:v>
      </x:c>
      <x:c r="N33" s="22" t="n">
        <x:v>-0.000791526374155</x:v>
      </x:c>
      <x:c r="O33" s="18" t="str">
        <x:v>dgp_metrics.csv</x:v>
      </x:c>
      <x:c r="P33" s="18"/>
    </x:row>
    <x:row r="34">
      <x:c r="A34" s="18" t="str">
        <x:v>520-view validation</x:v>
      </x:c>
      <x:c r="B34" s="18" t="str">
        <x:v>C3</x:v>
      </x:c>
      <x:c r="C34" s="18" t="str">
        <x:v>Jones dcglare</x:v>
      </x:c>
      <x:c r="D34" s="21" t="n">
        <x:v>18720</x:v>
      </x:c>
      <x:c r="E34" s="22" t="n">
        <x:v>0.0125686885913767</x:v>
      </x:c>
      <x:c r="F34" s="22" t="n">
        <x:v>0.0542705416345319</x:v>
      </x:c>
      <x:c r="G34" s="22" t="n">
        <x:v>-0.0098665077885281</x:v>
      </x:c>
      <x:c r="H34" s="22" t="n">
        <x:v>0.0010344266434038</x:v>
      </x:c>
      <x:c r="I34" s="22" t="n">
        <x:v>0.0227882986018977</x:v>
      </x:c>
      <x:c r="J34" s="18" t="n">
        <x:v>0.3687511528921519</x:v>
      </x:c>
      <x:c r="K34" s="22" t="n">
        <x:v>0.2597957204131133</x:v>
      </x:c>
      <x:c r="L34" s="22" t="n">
        <x:v>0.4643680439977624</x:v>
      </x:c>
      <x:c r="M34" s="22" t="n">
        <x:v>0.1386694429789846</x:v>
      </x:c>
      <x:c r="N34" s="22" t="n">
        <x:v>0.1391294089698233</x:v>
      </x:c>
      <x:c r="O34" s="18" t="str">
        <x:v>dgp_metrics.csv</x:v>
      </x:c>
      <x:c r="P34" s="18"/>
    </x:row>
    <x:row r="35">
      <x:c r="A35" s="18" t="str">
        <x:v>520-view validation</x:v>
      </x:c>
      <x:c r="B35" s="18" t="str">
        <x:v>C3</x:v>
      </x:c>
      <x:c r="C35" s="18" t="str">
        <x:v>Raytraverse Balanced</x:v>
      </x:c>
      <x:c r="D35" s="21" t="n">
        <x:v>18720</x:v>
      </x:c>
      <x:c r="E35" s="22" t="n">
        <x:v>0.0067811386622652</x:v>
      </x:c>
      <x:c r="F35" s="22" t="n">
        <x:v>0.0402809114484623</x:v>
      </x:c>
      <x:c r="G35" s="22" t="n">
        <x:v>0.0001207000632056</x:v>
      </x:c>
      <x:c r="H35" s="22" t="n">
        <x:v>0.001012130958229</x:v>
      </x:c>
      <x:c r="I35" s="22" t="n">
        <x:v>0.0030274017492845</x:v>
      </x:c>
      <x:c r="J35" s="18" t="n">
        <x:v>0.3839342431737794</x:v>
      </x:c>
      <x:c r="K35" s="22" t="n">
        <x:v>0.7795885428297264</x:v>
      </x:c>
      <x:c r="L35" s="22" t="n">
        <x:v>0.6078581528126235</x:v>
      </x:c>
      <x:c r="M35" s="22" t="n">
        <x:v>0.7698425619031549</x:v>
      </x:c>
      <x:c r="N35" s="22" t="n">
        <x:v>0.0399341238509282</x:v>
      </x:c>
      <x:c r="O35" s="18" t="str">
        <x:v>dgp_metrics.csv</x:v>
      </x:c>
      <x:c r="P35" s="18"/>
    </x:row>
    <x:row r="36">
      <x:c r="A36" s="18" t="str">
        <x:v>520-view validation</x:v>
      </x:c>
      <x:c r="B36" s="18" t="str">
        <x:v>C3</x:v>
      </x:c>
      <x:c r="C36" s="18" t="str">
        <x:v>Raytraverse High</x:v>
      </x:c>
      <x:c r="D36" s="21" t="n">
        <x:v>18720</x:v>
      </x:c>
      <x:c r="E36" s="22" t="n">
        <x:v>0.0066179842833812</x:v>
      </x:c>
      <x:c r="F36" s="22" t="n">
        <x:v>0.0394773953630355</x:v>
      </x:c>
      <x:c r="G36" s="22" t="n">
        <x:v>0.0003450924845103</x:v>
      </x:c>
      <x:c r="H36" s="22" t="n">
        <x:v>0.0010097297556759</x:v>
      </x:c>
      <x:c r="I36" s="22" t="n">
        <x:v>0.0031149413352437</x:v>
      </x:c>
      <x:c r="J36" s="18" t="n">
        <x:v>0.3800455864616382</x:v>
      </x:c>
      <x:c r="K36" s="22" t="n">
        <x:v>0.7896856656089618</x:v>
      </x:c>
      <x:c r="L36" s="22" t="n">
        <x:v>0.6236460994505675</x:v>
      </x:c>
      <x:c r="M36" s="22" t="n">
        <x:v>0.7849724616410401</x:v>
      </x:c>
      <x:c r="N36" s="22" t="n">
        <x:v>0.0375412942736258</x:v>
      </x:c>
      <x:c r="O36" s="18" t="str">
        <x:v>dgp_metrics.csv</x:v>
      </x:c>
      <x:c r="P36" s="18"/>
    </x:row>
    <x:row r="37">
      <x:c r="A37" s="18" t="str">
        <x:v>520-view validation</x:v>
      </x:c>
      <x:c r="B37" s="18" t="str">
        <x:v>C4</x:v>
      </x:c>
      <x:c r="C37" s="18" t="str">
        <x:v>EIGCM (MF1)</x:v>
      </x:c>
      <x:c r="D37" s="21" t="n">
        <x:v>18720</x:v>
      </x:c>
      <x:c r="E37" s="22" t="n">
        <x:v>0.0054892709935897</x:v>
      </x:c>
      <x:c r="F37" s="22" t="n">
        <x:v>0.0137027754787824</x:v>
      </x:c>
      <x:c r="G37" s="22" t="n">
        <x:v>-0.0014199406517094</x:v>
      </x:c>
      <x:c r="H37" s="22" t="n">
        <x:v>0.0007203</x:v>
      </x:c>
      <x:c r="I37" s="22" t="n">
        <x:v>0.023024825</x:v>
      </x:c>
      <x:c r="J37" s="18" t="n">
        <x:v>0.3306417</x:v>
      </x:c>
      <x:c r="K37" s="22" t="n">
        <x:v>0.9966533750648364</x:v>
      </x:c>
      <x:c r="L37" s="22" t="n">
        <x:v>0.993400436001773</x:v>
      </x:c>
      <x:c r="M37" s="22" t="n">
        <x:v>0.9933700938912676</x:v>
      </x:c>
      <x:c r="N37" s="22" t="n">
        <x:v>0.0003271823857319</x:v>
      </x:c>
      <x:c r="O37" s="18" t="str">
        <x:v>dgp_metrics.csv</x:v>
      </x:c>
      <x:c r="P37" s="18"/>
    </x:row>
    <x:row r="38">
      <x:c r="A38" s="18" t="str">
        <x:v>520-view validation</x:v>
      </x:c>
      <x:c r="B38" s="18" t="str">
        <x:v>C4</x:v>
      </x:c>
      <x:c r="C38" s="18" t="str">
        <x:v>Jones dcglare</x:v>
      </x:c>
      <x:c r="D38" s="21" t="n">
        <x:v>18720</x:v>
      </x:c>
      <x:c r="E38" s="22" t="n">
        <x:v>0.0164530394355319</x:v>
      </x:c>
      <x:c r="F38" s="22" t="n">
        <x:v>0.0568060440191817</x:v>
      </x:c>
      <x:c r="G38" s="22" t="n">
        <x:v>0.0020573231322054</x:v>
      </x:c>
      <x:c r="H38" s="22" t="n">
        <x:v>0.0018409073945287</x:v>
      </x:c>
      <x:c r="I38" s="22" t="n">
        <x:v>0.0613617599999999</x:v>
      </x:c>
      <x:c r="J38" s="18" t="n">
        <x:v>0.6256746</x:v>
      </x:c>
      <x:c r="K38" s="22" t="n">
        <x:v>0.9424587238710372</x:v>
      </x:c>
      <x:c r="L38" s="22" t="n">
        <x:v>0.8883756648206355</x:v>
      </x:c>
      <x:c r="M38" s="22" t="n">
        <x:v>0.9389205398705486</x:v>
      </x:c>
      <x:c r="N38" s="22" t="n">
        <x:v>0.0181530762479395</x:v>
      </x:c>
      <x:c r="O38" s="18" t="str">
        <x:v>dgp_metrics.csv</x:v>
      </x:c>
      <x:c r="P38" s="18"/>
    </x:row>
    <x:row r="39">
      <x:c r="A39" s="18" t="str">
        <x:v>520-view validation</x:v>
      </x:c>
      <x:c r="B39" s="18" t="str">
        <x:v>C4</x:v>
      </x:c>
      <x:c r="C39" s="18" t="str">
        <x:v>Raytraverse Balanced</x:v>
      </x:c>
      <x:c r="D39" s="21" t="n">
        <x:v>18720</x:v>
      </x:c>
      <x:c r="E39" s="22" t="n">
        <x:v>0.0202678144378554</x:v>
      </x:c>
      <x:c r="F39" s="22" t="n">
        <x:v>0.0774020376297157</x:v>
      </x:c>
      <x:c r="G39" s="22" t="n">
        <x:v>0.0004114228952951</x:v>
      </x:c>
      <x:c r="H39" s="22" t="n">
        <x:v>0.0022164621307782</x:v>
      </x:c>
      <x:c r="I39" s="22" t="n">
        <x:v>0.0700603212886697</x:v>
      </x:c>
      <x:c r="J39" s="18" t="n">
        <x:v>0.818406</x:v>
      </x:c>
      <x:c r="K39" s="22" t="n">
        <x:v>0.8946782572104148</x:v>
      </x:c>
      <x:c r="L39" s="22" t="n">
        <x:v>0.8005406117621421</x:v>
      </x:c>
      <x:c r="M39" s="22" t="n">
        <x:v>0.9040876400419434</x:v>
      </x:c>
      <x:c r="N39" s="22" t="n">
        <x:v>0.0256863952568782</x:v>
      </x:c>
      <x:c r="O39" s="18" t="str">
        <x:v>dgp_metrics.csv</x:v>
      </x:c>
      <x:c r="P39" s="18"/>
    </x:row>
    <x:row r="40">
      <x:c r="A40" s="18" t="str">
        <x:v>520-view validation</x:v>
      </x:c>
      <x:c r="B40" s="18" t="str">
        <x:v>C4</x:v>
      </x:c>
      <x:c r="C40" s="18" t="str">
        <x:v>Raytraverse High</x:v>
      </x:c>
      <x:c r="D40" s="21" t="n">
        <x:v>18720</x:v>
      </x:c>
      <x:c r="E40" s="22" t="n">
        <x:v>0.0201042816183194</x:v>
      </x:c>
      <x:c r="F40" s="22" t="n">
        <x:v>0.0766366831088734</x:v>
      </x:c>
      <x:c r="G40" s="22" t="n">
        <x:v>0.001181674402789</x:v>
      </x:c>
      <x:c r="H40" s="22" t="n">
        <x:v>0.0020053128617401</x:v>
      </x:c>
      <x:c r="I40" s="22" t="n">
        <x:v>0.0713995325536724</x:v>
      </x:c>
      <x:c r="J40" s="18" t="n">
        <x:v>0.818406</x:v>
      </x:c>
      <x:c r="K40" s="22" t="n">
        <x:v>0.8971124475308087</x:v>
      </x:c>
      <x:c r="L40" s="22" t="n">
        <x:v>0.8050045276257229</x:v>
      </x:c>
      <x:c r="M40" s="22" t="n">
        <x:v>0.909733828917194</x:v>
      </x:c>
      <x:c r="N40" s="22" t="n">
        <x:v>0.0249687544027134</x:v>
      </x:c>
      <x:c r="O40" s="18" t="str">
        <x:v>dgp_metrics.csv</x:v>
      </x:c>
      <x:c r="P40" s="18"/>
    </x:row>
  </x:sheetData>
  <x:mergeCells>
    <x:mergeCell ref="A1:N1"/>
    <x:mergeCell ref="A2:N2"/>
    <x:mergeCell ref="A4:N4"/>
    <x:mergeCell ref="A22:N22"/>
    <x:mergeCell ref="A24:P2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25" hidden="0" customWidth="1"/>
    <x:col min="4" max="4" width="10" hidden="0" customWidth="1"/>
    <x:col min="5" max="5" width="11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2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2" t="str">
        <x:v>Glare-event detection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4" t="str">
        <x:v>Recall, precision and F2 at DGP &gt;= 0.38 for Fig. 11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 ht="22" customHeight="1">
      <x:c r="A4" s="6" t="str">
        <x:v>Event metrics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40" customHeight="1">
      <x:c r="A5" s="14" t="str">
        <x:v>cohort</x:v>
      </x:c>
      <x:c r="B5" s="14" t="str">
        <x:v>case</x:v>
      </x:c>
      <x:c r="C5" s="14" t="str">
        <x:v>method</x:v>
      </x:c>
      <x:c r="D5" s="14" t="str">
        <x:v>n</x:v>
      </x:c>
      <x:c r="E5" s="14" t="str">
        <x:v>threshold</x:v>
      </x:c>
      <x:c r="F5" s="14" t="str">
        <x:v>TP</x:v>
      </x:c>
      <x:c r="G5" s="14" t="str">
        <x:v>TN</x:v>
      </x:c>
      <x:c r="H5" s="14" t="str">
        <x:v>FP</x:v>
      </x:c>
      <x:c r="I5" s="14" t="str">
        <x:v>FN</x:v>
      </x:c>
      <x:c r="J5" s="14" t="str">
        <x:v>recall</x:v>
      </x:c>
      <x:c r="K5" s="14" t="str">
        <x:v>precision</x:v>
      </x:c>
      <x:c r="L5" s="14" t="str">
        <x:v>F2_reported</x:v>
      </x:c>
      <x:c r="M5" s="14" t="str">
        <x:v>F2_recomputed</x:v>
      </x:c>
      <x:c r="N5" s="14" t="str">
        <x:v>F2_difference</x:v>
      </x:c>
    </x:row>
    <x:row r="6">
      <x:c r="A6" s="18" t="str">
        <x:v>Annual two-view</x:v>
      </x:c>
      <x:c r="B6" s="18" t="str">
        <x:v>C1</x:v>
      </x:c>
      <x:c r="C6" s="18" t="str">
        <x:v>EIGCM (MF1)</x:v>
      </x:c>
      <x:c r="D6" s="21" t="n">
        <x:v>8786</x:v>
      </x:c>
      <x:c r="E6" s="22" t="n">
        <x:v>0.38</x:v>
      </x:c>
      <x:c r="F6" s="21" t="n">
        <x:v>1725</x:v>
      </x:c>
      <x:c r="G6" s="21" t="n">
        <x:v>7001</x:v>
      </x:c>
      <x:c r="H6" s="21" t="n">
        <x:v>32</x:v>
      </x:c>
      <x:c r="I6" s="21" t="n">
        <x:v>28</x:v>
      </x:c>
      <x:c r="J6" s="22" t="n">
        <x:v>0.9840273816314888</x:v>
      </x:c>
      <x:c r="K6" s="22" t="n">
        <x:v>0.9817871371656233</x:v>
      </x:c>
      <x:c r="L6" s="22" t="n">
        <x:v>0.9835785152240848</x:v>
      </x:c>
      <x:c r="M6" s="22" t="n">
        <x:f>IF((4*K6+J6)=0,0,5*K6*J6/(4*K6+J6))</x:f>
        <x:v>0.9835785152240848</x:v>
      </x:c>
      <x:c r="N6" s="26" t="n">
        <x:f>M6-L6</x:f>
        <x:v>0</x:v>
      </x:c>
    </x:row>
    <x:row r="7">
      <x:c r="A7" s="18" t="str">
        <x:v>Annual two-view</x:v>
      </x:c>
      <x:c r="B7" s="18" t="str">
        <x:v>C1</x:v>
      </x:c>
      <x:c r="C7" s="18" t="str">
        <x:v>Jones dcglare</x:v>
      </x:c>
      <x:c r="D7" s="21" t="n">
        <x:v>8786</x:v>
      </x:c>
      <x:c r="E7" s="22" t="n">
        <x:v>0.38</x:v>
      </x:c>
      <x:c r="F7" s="21" t="n">
        <x:v>1718</x:v>
      </x:c>
      <x:c r="G7" s="21" t="n">
        <x:v>6805</x:v>
      </x:c>
      <x:c r="H7" s="21" t="n">
        <x:v>228</x:v>
      </x:c>
      <x:c r="I7" s="21" t="n">
        <x:v>35</x:v>
      </x:c>
      <x:c r="J7" s="22" t="n">
        <x:v>0.980034227039361</x:v>
      </x:c>
      <x:c r="K7" s="22" t="n">
        <x:v>0.8828365878725591</x:v>
      </x:c>
      <x:c r="L7" s="22" t="n">
        <x:v>0.9589194016521546</x:v>
      </x:c>
      <x:c r="M7" s="22" t="n">
        <x:f>IF((4*K7+J7)=0,0,5*K7*J7/(4*K7+J7))</x:f>
        <x:v>0.9589194016521546</x:v>
      </x:c>
      <x:c r="N7" s="26" t="n">
        <x:f>M7-L7</x:f>
        <x:v>0</x:v>
      </x:c>
    </x:row>
    <x:row r="8">
      <x:c r="A8" s="18" t="str">
        <x:v>Annual two-view</x:v>
      </x:c>
      <x:c r="B8" s="18" t="str">
        <x:v>C1</x:v>
      </x:c>
      <x:c r="C8" s="18" t="str">
        <x:v>Raytraverse Balanced</x:v>
      </x:c>
      <x:c r="D8" s="21" t="n">
        <x:v>8786</x:v>
      </x:c>
      <x:c r="E8" s="22" t="n">
        <x:v>0.38</x:v>
      </x:c>
      <x:c r="F8" s="21" t="n">
        <x:v>1659</x:v>
      </x:c>
      <x:c r="G8" s="21" t="n">
        <x:v>6977</x:v>
      </x:c>
      <x:c r="H8" s="21" t="n">
        <x:v>56</x:v>
      </x:c>
      <x:c r="I8" s="21" t="n">
        <x:v>94</x:v>
      </x:c>
      <x:c r="J8" s="22" t="n">
        <x:v>0.9463776383342841</x:v>
      </x:c>
      <x:c r="K8" s="22" t="n">
        <x:v>0.9673469387755103</x:v>
      </x:c>
      <x:c r="L8" s="22" t="n">
        <x:v>0.9504984530766586</x:v>
      </x:c>
      <x:c r="M8" s="22" t="n">
        <x:f>IF((4*K8+J8)=0,0,5*K8*J8/(4*K8+J8))</x:f>
        <x:v>0.9504984530766586</x:v>
      </x:c>
      <x:c r="N8" s="26" t="n">
        <x:f>M8-L8</x:f>
        <x:v>0</x:v>
      </x:c>
    </x:row>
    <x:row r="9">
      <x:c r="A9" s="18" t="str">
        <x:v>Annual two-view</x:v>
      </x:c>
      <x:c r="B9" s="18" t="str">
        <x:v>C1</x:v>
      </x:c>
      <x:c r="C9" s="18" t="str">
        <x:v>Raytraverse High</x:v>
      </x:c>
      <x:c r="D9" s="21" t="n">
        <x:v>8786</x:v>
      </x:c>
      <x:c r="E9" s="22" t="n">
        <x:v>0.38</x:v>
      </x:c>
      <x:c r="F9" s="21" t="n">
        <x:v>1715</x:v>
      </x:c>
      <x:c r="G9" s="21" t="n">
        <x:v>6965</x:v>
      </x:c>
      <x:c r="H9" s="21" t="n">
        <x:v>68</x:v>
      </x:c>
      <x:c r="I9" s="21" t="n">
        <x:v>38</x:v>
      </x:c>
      <x:c r="J9" s="22" t="n">
        <x:v>0.9783228750713063</x:v>
      </x:c>
      <x:c r="K9" s="22" t="n">
        <x:v>0.9618620302860348</x:v>
      </x:c>
      <x:c r="L9" s="22" t="n">
        <x:v>0.9749857873791926</x:v>
      </x:c>
      <x:c r="M9" s="22" t="n">
        <x:f>IF((4*K9+J9)=0,0,5*K9*J9/(4*K9+J9))</x:f>
        <x:v>0.9749857873791926</x:v>
      </x:c>
      <x:c r="N9" s="26" t="n">
        <x:f>M9-L9</x:f>
        <x:v>0</x:v>
      </x:c>
    </x:row>
    <x:row r="10">
      <x:c r="A10" s="18" t="str">
        <x:v>Annual two-view</x:v>
      </x:c>
      <x:c r="B10" s="18" t="str">
        <x:v>C2</x:v>
      </x:c>
      <x:c r="C10" s="18" t="str">
        <x:v>EIGCM (MF1)</x:v>
      </x:c>
      <x:c r="D10" s="21" t="n">
        <x:v>8769</x:v>
      </x:c>
      <x:c r="E10" s="22" t="n">
        <x:v>0.38</x:v>
      </x:c>
      <x:c r="F10" s="21" t="n">
        <x:v>3284</x:v>
      </x:c>
      <x:c r="G10" s="21" t="n">
        <x:v>5382</x:v>
      </x:c>
      <x:c r="H10" s="21" t="n">
        <x:v>35</x:v>
      </x:c>
      <x:c r="I10" s="21" t="n">
        <x:v>68</x:v>
      </x:c>
      <x:c r="J10" s="22" t="n">
        <x:v>0.9797136038186157</x:v>
      </x:c>
      <x:c r="K10" s="22" t="n">
        <x:v>0.9894546550165713</x:v>
      </x:c>
      <x:c r="L10" s="22" t="n">
        <x:v>0.9816464398876068</x:v>
      </x:c>
      <x:c r="M10" s="22" t="n">
        <x:f>IF((4*K10+J10)=0,0,5*K10*J10/(4*K10+J10))</x:f>
        <x:v>0.9816464398876068</x:v>
      </x:c>
      <x:c r="N10" s="26" t="n">
        <x:f>M10-L10</x:f>
        <x:v>0</x:v>
      </x:c>
    </x:row>
    <x:row r="11">
      <x:c r="A11" s="18" t="str">
        <x:v>Annual two-view</x:v>
      </x:c>
      <x:c r="B11" s="18" t="str">
        <x:v>C2</x:v>
      </x:c>
      <x:c r="C11" s="18" t="str">
        <x:v>Jones dcglare</x:v>
      </x:c>
      <x:c r="D11" s="21" t="n">
        <x:v>8769</x:v>
      </x:c>
      <x:c r="E11" s="22" t="n">
        <x:v>0.38</x:v>
      </x:c>
      <x:c r="F11" s="21" t="n">
        <x:v>3125</x:v>
      </x:c>
      <x:c r="G11" s="21" t="n">
        <x:v>5403</x:v>
      </x:c>
      <x:c r="H11" s="21" t="n">
        <x:v>14</x:v>
      </x:c>
      <x:c r="I11" s="21" t="n">
        <x:v>227</x:v>
      </x:c>
      <x:c r="J11" s="22" t="n">
        <x:v>0.9322792362768496</x:v>
      </x:c>
      <x:c r="K11" s="22" t="n">
        <x:v>0.9955399808856323</x:v>
      </x:c>
      <x:c r="L11" s="22" t="n">
        <x:v>0.9442799298966581</x:v>
      </x:c>
      <x:c r="M11" s="22" t="n">
        <x:f>IF((4*K11+J11)=0,0,5*K11*J11/(4*K11+J11))</x:f>
        <x:v>0.9442799298966581</x:v>
      </x:c>
      <x:c r="N11" s="26" t="n">
        <x:f>M11-L11</x:f>
        <x:v>0</x:v>
      </x:c>
    </x:row>
    <x:row r="12">
      <x:c r="A12" s="18" t="str">
        <x:v>Annual two-view</x:v>
      </x:c>
      <x:c r="B12" s="18" t="str">
        <x:v>C2</x:v>
      </x:c>
      <x:c r="C12" s="18" t="str">
        <x:v>Raytraverse Balanced</x:v>
      </x:c>
      <x:c r="D12" s="21" t="n">
        <x:v>8769</x:v>
      </x:c>
      <x:c r="E12" s="22" t="n">
        <x:v>0.38</x:v>
      </x:c>
      <x:c r="F12" s="21" t="n">
        <x:v>3227</x:v>
      </x:c>
      <x:c r="G12" s="21" t="n">
        <x:v>5305</x:v>
      </x:c>
      <x:c r="H12" s="21" t="n">
        <x:v>112</x:v>
      </x:c>
      <x:c r="I12" s="21" t="n">
        <x:v>125</x:v>
      </x:c>
      <x:c r="J12" s="22" t="n">
        <x:v>0.962708830548926</x:v>
      </x:c>
      <x:c r="K12" s="22" t="n">
        <x:v>0.9664570230607966</x:v>
      </x:c>
      <x:c r="L12" s="22" t="n">
        <x:v>0.9634561413984594</x:v>
      </x:c>
      <x:c r="M12" s="22" t="n">
        <x:f>IF((4*K12+J12)=0,0,5*K12*J12/(4*K12+J12))</x:f>
        <x:v>0.9634561413984594</x:v>
      </x:c>
      <x:c r="N12" s="26" t="n">
        <x:f>M12-L12</x:f>
        <x:v>0</x:v>
      </x:c>
    </x:row>
    <x:row r="13">
      <x:c r="A13" s="18" t="str">
        <x:v>Annual two-view</x:v>
      </x:c>
      <x:c r="B13" s="18" t="str">
        <x:v>C3</x:v>
      </x:c>
      <x:c r="C13" s="18" t="str">
        <x:v>EIGCM (MF1)</x:v>
      </x:c>
      <x:c r="D13" s="21" t="n">
        <x:v>8786</x:v>
      </x:c>
      <x:c r="E13" s="22" t="n">
        <x:v>0.38</x:v>
      </x:c>
      <x:c r="F13" s="21" t="n">
        <x:v>273</x:v>
      </x:c>
      <x:c r="G13" s="21" t="n">
        <x:v>8500</x:v>
      </x:c>
      <x:c r="H13" s="21" t="n">
        <x:v>13</x:v>
      </x:c>
      <x:c r="I13" s="21" t="n">
        <x:v>0</x:v>
      </x:c>
      <x:c r="J13" s="22" t="n">
        <x:v>1</x:v>
      </x:c>
      <x:c r="K13" s="22" t="n">
        <x:v>0.9545454545454546</x:v>
      </x:c>
      <x:c r="L13" s="22" t="n">
        <x:v>0.9905660377358492</x:v>
      </x:c>
      <x:c r="M13" s="22" t="n">
        <x:f>IF((4*K13+J13)=0,0,5*K13*J13/(4*K13+J13))</x:f>
        <x:v>0.9905660377358492</x:v>
      </x:c>
      <x:c r="N13" s="26" t="n">
        <x:f>M13-L13</x:f>
        <x:v>0</x:v>
      </x:c>
    </x:row>
    <x:row r="14">
      <x:c r="A14" s="18" t="str">
        <x:v>Annual two-view</x:v>
      </x:c>
      <x:c r="B14" s="18" t="str">
        <x:v>C3</x:v>
      </x:c>
      <x:c r="C14" s="18" t="str">
        <x:v>Jones dcglare</x:v>
      </x:c>
      <x:c r="D14" s="21" t="n">
        <x:v>8786</x:v>
      </x:c>
      <x:c r="E14" s="22" t="n">
        <x:v>0.38</x:v>
      </x:c>
      <x:c r="F14" s="21" t="n">
        <x:v>0</x:v>
      </x:c>
      <x:c r="G14" s="21" t="n">
        <x:v>8513</x:v>
      </x:c>
      <x:c r="H14" s="21" t="n">
        <x:v>0</x:v>
      </x:c>
      <x:c r="I14" s="21" t="n">
        <x:v>273</x:v>
      </x:c>
      <x:c r="J14" s="22" t="n">
        <x:v>0</x:v>
      </x:c>
      <x:c r="K14" s="22" t="n">
        <x:v>0</x:v>
      </x:c>
      <x:c r="L14" s="22" t="n">
        <x:v>0</x:v>
      </x:c>
      <x:c r="M14" s="22" t="n">
        <x:f>IF((4*K14+J14)=0,0,5*K14*J14/(4*K14+J14))</x:f>
        <x:v>0</x:v>
      </x:c>
      <x:c r="N14" s="26" t="n">
        <x:f>M14-L14</x:f>
        <x:v>0</x:v>
      </x:c>
    </x:row>
    <x:row r="15">
      <x:c r="A15" s="18" t="str">
        <x:v>Annual two-view</x:v>
      </x:c>
      <x:c r="B15" s="18" t="str">
        <x:v>C3</x:v>
      </x:c>
      <x:c r="C15" s="18" t="str">
        <x:v>Raytraverse Balanced</x:v>
      </x:c>
      <x:c r="D15" s="21" t="n">
        <x:v>8786</x:v>
      </x:c>
      <x:c r="E15" s="22" t="n">
        <x:v>0.38</x:v>
      </x:c>
      <x:c r="F15" s="21" t="n">
        <x:v>266</x:v>
      </x:c>
      <x:c r="G15" s="21" t="n">
        <x:v>8500</x:v>
      </x:c>
      <x:c r="H15" s="21" t="n">
        <x:v>13</x:v>
      </x:c>
      <x:c r="I15" s="21" t="n">
        <x:v>7</x:v>
      </x:c>
      <x:c r="J15" s="22" t="n">
        <x:v>0.9743589743589743</x:v>
      </x:c>
      <x:c r="K15" s="22" t="n">
        <x:v>0.953405017921147</x:v>
      </x:c>
      <x:c r="L15" s="22" t="n">
        <x:v>0.9700948212983225</x:v>
      </x:c>
      <x:c r="M15" s="22" t="n">
        <x:f>IF((4*K15+J15)=0,0,5*K15*J15/(4*K15+J15))</x:f>
        <x:v>0.9700948212983225</x:v>
      </x:c>
      <x:c r="N15" s="26" t="n">
        <x:f>M15-L15</x:f>
        <x:v>0</x:v>
      </x:c>
    </x:row>
    <x:row r="16">
      <x:c r="A16" s="18" t="str">
        <x:v>Annual two-view</x:v>
      </x:c>
      <x:c r="B16" s="18" t="str">
        <x:v>C3</x:v>
      </x:c>
      <x:c r="C16" s="18" t="str">
        <x:v>Raytraverse High</x:v>
      </x:c>
      <x:c r="D16" s="21" t="n">
        <x:v>8786</x:v>
      </x:c>
      <x:c r="E16" s="22" t="n">
        <x:v>0.38</x:v>
      </x:c>
      <x:c r="F16" s="21" t="n">
        <x:v>267</x:v>
      </x:c>
      <x:c r="G16" s="21" t="n">
        <x:v>8500</x:v>
      </x:c>
      <x:c r="H16" s="21" t="n">
        <x:v>13</x:v>
      </x:c>
      <x:c r="I16" s="21" t="n">
        <x:v>6</x:v>
      </x:c>
      <x:c r="J16" s="22" t="n">
        <x:v>0.978021978021978</x:v>
      </x:c>
      <x:c r="K16" s="22" t="n">
        <x:v>0.9535714285714286</x:v>
      </x:c>
      <x:c r="L16" s="22" t="n">
        <x:v>0.9730320699708456</x:v>
      </x:c>
      <x:c r="M16" s="22" t="n">
        <x:f>IF((4*K16+J16)=0,0,5*K16*J16/(4*K16+J16))</x:f>
        <x:v>0.9730320699708456</x:v>
      </x:c>
      <x:c r="N16" s="26" t="n">
        <x:f>M16-L16</x:f>
        <x:v>0</x:v>
      </x:c>
    </x:row>
    <x:row r="17">
      <x:c r="A17" s="18" t="str">
        <x:v>Annual two-view</x:v>
      </x:c>
      <x:c r="B17" s="18" t="str">
        <x:v>C4</x:v>
      </x:c>
      <x:c r="C17" s="18" t="str">
        <x:v>EIGCM (MF1)</x:v>
      </x:c>
      <x:c r="D17" s="21" t="n">
        <x:v>8786</x:v>
      </x:c>
      <x:c r="E17" s="22" t="n">
        <x:v>0.38</x:v>
      </x:c>
      <x:c r="F17" s="21" t="n">
        <x:v>1709</x:v>
      </x:c>
      <x:c r="G17" s="21" t="n">
        <x:v>6998</x:v>
      </x:c>
      <x:c r="H17" s="21" t="n">
        <x:v>26</x:v>
      </x:c>
      <x:c r="I17" s="21" t="n">
        <x:v>53</x:v>
      </x:c>
      <x:c r="J17" s="22" t="n">
        <x:v>0.9699205448354143</x:v>
      </x:c>
      <x:c r="K17" s="22" t="n">
        <x:v>0.985014409221902</x:v>
      </x:c>
      <x:c r="L17" s="22" t="n">
        <x:v>0.9729021974268475</x:v>
      </x:c>
      <x:c r="M17" s="22" t="n">
        <x:f>IF((4*K17+J17)=0,0,5*K17*J17/(4*K17+J17))</x:f>
        <x:v>0.9729021974268475</x:v>
      </x:c>
      <x:c r="N17" s="26" t="n">
        <x:f>M17-L17</x:f>
        <x:v>0</x:v>
      </x:c>
    </x:row>
    <x:row r="18">
      <x:c r="A18" s="18" t="str">
        <x:v>Annual two-view</x:v>
      </x:c>
      <x:c r="B18" s="18" t="str">
        <x:v>C4</x:v>
      </x:c>
      <x:c r="C18" s="18" t="str">
        <x:v>Jones dcglare</x:v>
      </x:c>
      <x:c r="D18" s="21" t="n">
        <x:v>8786</x:v>
      </x:c>
      <x:c r="E18" s="22" t="n">
        <x:v>0.38</x:v>
      </x:c>
      <x:c r="F18" s="21" t="n">
        <x:v>1717</x:v>
      </x:c>
      <x:c r="G18" s="21" t="n">
        <x:v>6850</x:v>
      </x:c>
      <x:c r="H18" s="21" t="n">
        <x:v>174</x:v>
      </x:c>
      <x:c r="I18" s="21" t="n">
        <x:v>45</x:v>
      </x:c>
      <x:c r="J18" s="22" t="n">
        <x:v>0.9744608399545971</x:v>
      </x:c>
      <x:c r="K18" s="22" t="n">
        <x:v>0.9079851930195664</x:v>
      </x:c>
      <x:c r="L18" s="22" t="n">
        <x:v>0.9603982548383488</x:v>
      </x:c>
      <x:c r="M18" s="22" t="n">
        <x:f>IF((4*K18+J18)=0,0,5*K18*J18/(4*K18+J18))</x:f>
        <x:v>0.9603982548383488</x:v>
      </x:c>
      <x:c r="N18" s="26" t="n">
        <x:f>M18-L18</x:f>
        <x:v>0</x:v>
      </x:c>
    </x:row>
    <x:row r="19">
      <x:c r="A19" s="18" t="str">
        <x:v>Annual two-view</x:v>
      </x:c>
      <x:c r="B19" s="18" t="str">
        <x:v>C4</x:v>
      </x:c>
      <x:c r="C19" s="18" t="str">
        <x:v>Raytraverse Balanced</x:v>
      </x:c>
      <x:c r="D19" s="21" t="n">
        <x:v>8786</x:v>
      </x:c>
      <x:c r="E19" s="22" t="n">
        <x:v>0.38</x:v>
      </x:c>
      <x:c r="F19" s="21" t="n">
        <x:v>1697</x:v>
      </x:c>
      <x:c r="G19" s="21" t="n">
        <x:v>6888</x:v>
      </x:c>
      <x:c r="H19" s="21" t="n">
        <x:v>136</x:v>
      </x:c>
      <x:c r="I19" s="21" t="n">
        <x:v>65</x:v>
      </x:c>
      <x:c r="J19" s="22" t="n">
        <x:v>0.9631101021566402</x:v>
      </x:c>
      <x:c r="K19" s="22" t="n">
        <x:v>0.9258046917621385</x:v>
      </x:c>
      <x:c r="L19" s="22" t="n">
        <x:v>0.955410426753744</x:v>
      </x:c>
      <x:c r="M19" s="22" t="n">
        <x:f>IF((4*K19+J19)=0,0,5*K19*J19/(4*K19+J19))</x:f>
        <x:v>0.955410426753744</x:v>
      </x:c>
      <x:c r="N19" s="26" t="n">
        <x:f>M19-L19</x:f>
        <x:v>0</x:v>
      </x:c>
    </x:row>
    <x:row r="20">
      <x:c r="A20" s="18" t="str">
        <x:v>Annual two-view</x:v>
      </x:c>
      <x:c r="B20" s="18" t="str">
        <x:v>C4</x:v>
      </x:c>
      <x:c r="C20" s="18" t="str">
        <x:v>Raytraverse High</x:v>
      </x:c>
      <x:c r="D20" s="21" t="n">
        <x:v>8786</x:v>
      </x:c>
      <x:c r="E20" s="22" t="n">
        <x:v>0.38</x:v>
      </x:c>
      <x:c r="F20" s="21" t="n">
        <x:v>1707</x:v>
      </x:c>
      <x:c r="G20" s="21" t="n">
        <x:v>6966</x:v>
      </x:c>
      <x:c r="H20" s="21" t="n">
        <x:v>58</x:v>
      </x:c>
      <x:c r="I20" s="21" t="n">
        <x:v>55</x:v>
      </x:c>
      <x:c r="J20" s="22" t="n">
        <x:v>0.9687854710556186</x:v>
      </x:c>
      <x:c r="K20" s="22" t="n">
        <x:v>0.9671388101983003</x:v>
      </x:c>
      <x:c r="L20" s="22" t="n">
        <x:v>0.9684556904572789</x:v>
      </x:c>
      <x:c r="M20" s="22" t="n">
        <x:f>IF((4*K20+J20)=0,0,5*K20*J20/(4*K20+J20))</x:f>
        <x:v>0.9684556904572789</x:v>
      </x:c>
      <x:c r="N20" s="26" t="n">
        <x:f>M20-L20</x:f>
        <x:v>0</x:v>
      </x:c>
    </x:row>
    <x:row r="21">
      <x:c r="A21" s="18" t="str">
        <x:v>520-view validation</x:v>
      </x:c>
      <x:c r="B21" s="18" t="str">
        <x:v>C1</x:v>
      </x:c>
      <x:c r="C21" s="18" t="str">
        <x:v>EIGCM (MF1)</x:v>
      </x:c>
      <x:c r="D21" s="21" t="n">
        <x:v>18720</x:v>
      </x:c>
      <x:c r="E21" s="22" t="n">
        <x:v>0.38</x:v>
      </x:c>
      <x:c r="F21" s="21" t="n">
        <x:v>2353</x:v>
      </x:c>
      <x:c r="G21" s="21" t="n">
        <x:v>16102</x:v>
      </x:c>
      <x:c r="H21" s="21" t="n">
        <x:v>46</x:v>
      </x:c>
      <x:c r="I21" s="21" t="n">
        <x:v>219</x:v>
      </x:c>
      <x:c r="J21" s="22" t="n">
        <x:v>0.9148522550544324</x:v>
      </x:c>
      <x:c r="K21" s="22" t="n">
        <x:v>0.9808253438932888</x:v>
      </x:c>
      <x:c r="L21" s="22" t="n">
        <x:v>0.9273271853077956</x:v>
      </x:c>
      <x:c r="M21" s="22" t="n">
        <x:f>IF((4*K21+J21)=0,0,5*K21*J21/(4*K21+J21))</x:f>
        <x:v>0.9273271853077952</x:v>
      </x:c>
      <x:c r="N21" s="26" t="n">
        <x:f>M21-L21</x:f>
        <x:v>-3.3306690738754696e-16</x:v>
      </x:c>
    </x:row>
    <x:row r="22">
      <x:c r="A22" s="18" t="str">
        <x:v>520-view validation</x:v>
      </x:c>
      <x:c r="B22" s="18" t="str">
        <x:v>C1</x:v>
      </x:c>
      <x:c r="C22" s="18" t="str">
        <x:v>Jones dcglare</x:v>
      </x:c>
      <x:c r="D22" s="21" t="n">
        <x:v>18720</x:v>
      </x:c>
      <x:c r="E22" s="22" t="n">
        <x:v>0.38</x:v>
      </x:c>
      <x:c r="F22" s="21" t="n">
        <x:v>2373</x:v>
      </x:c>
      <x:c r="G22" s="21" t="n">
        <x:v>15913</x:v>
      </x:c>
      <x:c r="H22" s="21" t="n">
        <x:v>235</x:v>
      </x:c>
      <x:c r="I22" s="21" t="n">
        <x:v>199</x:v>
      </x:c>
      <x:c r="J22" s="22" t="n">
        <x:v>0.9226283048211508</x:v>
      </x:c>
      <x:c r="K22" s="22" t="n">
        <x:v>0.90989263803681</x:v>
      </x:c>
      <x:c r="L22" s="22" t="n">
        <x:v>0.920052729528536</x:v>
      </x:c>
      <x:c r="M22" s="22" t="n">
        <x:f>IF((4*K22+J22)=0,0,5*K22*J22/(4*K22+J22))</x:f>
        <x:v>0.9200527295285359</x:v>
      </x:c>
      <x:c r="N22" s="26" t="n">
        <x:f>M22-L22</x:f>
        <x:v>-1.1102230246251565e-16</x:v>
      </x:c>
    </x:row>
    <x:row r="23">
      <x:c r="A23" s="18" t="str">
        <x:v>520-view validation</x:v>
      </x:c>
      <x:c r="B23" s="18" t="str">
        <x:v>C1</x:v>
      </x:c>
      <x:c r="C23" s="18" t="str">
        <x:v>Raytraverse Balanced</x:v>
      </x:c>
      <x:c r="D23" s="21" t="n">
        <x:v>18720</x:v>
      </x:c>
      <x:c r="E23" s="22" t="n">
        <x:v>0.38</x:v>
      </x:c>
      <x:c r="F23" s="21" t="n">
        <x:v>2110</x:v>
      </x:c>
      <x:c r="G23" s="21" t="n">
        <x:v>15895</x:v>
      </x:c>
      <x:c r="H23" s="21" t="n">
        <x:v>253</x:v>
      </x:c>
      <x:c r="I23" s="21" t="n">
        <x:v>462</x:v>
      </x:c>
      <x:c r="J23" s="22" t="n">
        <x:v>0.8203732503888025</x:v>
      </x:c>
      <x:c r="K23" s="22" t="n">
        <x:v>0.8929327126534067</x:v>
      </x:c>
      <x:c r="L23" s="22" t="n">
        <x:v>0.8339261718441231</x:v>
      </x:c>
      <x:c r="M23" s="22" t="n">
        <x:f>IF((4*K23+J23)=0,0,5*K23*J23/(4*K23+J23))</x:f>
        <x:v>0.8339261718441231</x:v>
      </x:c>
      <x:c r="N23" s="26" t="n">
        <x:f>M23-L23</x:f>
        <x:v>0</x:v>
      </x:c>
    </x:row>
    <x:row r="24">
      <x:c r="A24" s="18" t="str">
        <x:v>520-view validation</x:v>
      </x:c>
      <x:c r="B24" s="18" t="str">
        <x:v>C1</x:v>
      </x:c>
      <x:c r="C24" s="18" t="str">
        <x:v>Raytraverse High</x:v>
      </x:c>
      <x:c r="D24" s="21" t="n">
        <x:v>18720</x:v>
      </x:c>
      <x:c r="E24" s="22" t="n">
        <x:v>0.38</x:v>
      </x:c>
      <x:c r="F24" s="21" t="n">
        <x:v>2171</x:v>
      </x:c>
      <x:c r="G24" s="21" t="n">
        <x:v>15864</x:v>
      </x:c>
      <x:c r="H24" s="21" t="n">
        <x:v>284</x:v>
      </x:c>
      <x:c r="I24" s="21" t="n">
        <x:v>401</x:v>
      </x:c>
      <x:c r="J24" s="22" t="n">
        <x:v>0.8440902021772939</x:v>
      </x:c>
      <x:c r="K24" s="22" t="n">
        <x:v>0.8843177189409369</x:v>
      </x:c>
      <x:c r="L24" s="22" t="n">
        <x:v>0.8518402260064349</x:v>
      </x:c>
      <x:c r="M24" s="22" t="n">
        <x:f>IF((4*K24+J24)=0,0,5*K24*J24/(4*K24+J24))</x:f>
        <x:v>0.8518402260064349</x:v>
      </x:c>
      <x:c r="N24" s="26" t="n">
        <x:f>M24-L24</x:f>
        <x:v>0</x:v>
      </x:c>
    </x:row>
    <x:row r="25">
      <x:c r="A25" s="18" t="str">
        <x:v>520-view validation</x:v>
      </x:c>
      <x:c r="B25" s="18" t="str">
        <x:v>C2</x:v>
      </x:c>
      <x:c r="C25" s="18" t="str">
        <x:v>EIGCM (MF1)</x:v>
      </x:c>
      <x:c r="D25" s="21" t="n">
        <x:v>18720</x:v>
      </x:c>
      <x:c r="E25" s="22" t="n">
        <x:v>0.38</x:v>
      </x:c>
      <x:c r="F25" s="21" t="n">
        <x:v>4391</x:v>
      </x:c>
      <x:c r="G25" s="21" t="n">
        <x:v>14081</x:v>
      </x:c>
      <x:c r="H25" s="21" t="n">
        <x:v>19</x:v>
      </x:c>
      <x:c r="I25" s="21" t="n">
        <x:v>229</x:v>
      </x:c>
      <x:c r="J25" s="22" t="n">
        <x:v>0.9504329004329004</x:v>
      </x:c>
      <x:c r="K25" s="22" t="n">
        <x:v>0.9956916099773244</x:v>
      </x:c>
      <x:c r="L25" s="22" t="n">
        <x:v>0.9591524683267804</x:v>
      </x:c>
      <x:c r="M25" s="22" t="n">
        <x:f>IF((4*K25+J25)=0,0,5*K25*J25/(4*K25+J25))</x:f>
        <x:v>0.9591524683267802</x:v>
      </x:c>
      <x:c r="N25" s="26" t="n">
        <x:f>M25-L25</x:f>
        <x:v>-1.1102230246251565e-16</x:v>
      </x:c>
    </x:row>
    <x:row r="26">
      <x:c r="A26" s="18" t="str">
        <x:v>520-view validation</x:v>
      </x:c>
      <x:c r="B26" s="18" t="str">
        <x:v>C2</x:v>
      </x:c>
      <x:c r="C26" s="18" t="str">
        <x:v>Jones dcglare</x:v>
      </x:c>
      <x:c r="D26" s="21" t="n">
        <x:v>18720</x:v>
      </x:c>
      <x:c r="E26" s="22" t="n">
        <x:v>0.38</x:v>
      </x:c>
      <x:c r="F26" s="21" t="n">
        <x:v>4318</x:v>
      </x:c>
      <x:c r="G26" s="21" t="n">
        <x:v>14049</x:v>
      </x:c>
      <x:c r="H26" s="21" t="n">
        <x:v>51</x:v>
      </x:c>
      <x:c r="I26" s="21" t="n">
        <x:v>302</x:v>
      </x:c>
      <x:c r="J26" s="22" t="n">
        <x:v>0.9346320346320346</x:v>
      </x:c>
      <x:c r="K26" s="22" t="n">
        <x:v>0.9883268482490272</x:v>
      </x:c>
      <x:c r="L26" s="22" t="n">
        <x:v>0.9448991203116108</x:v>
      </x:c>
      <x:c r="M26" s="22" t="n">
        <x:f>IF((4*K26+J26)=0,0,5*K26*J26/(4*K26+J26))</x:f>
        <x:v>0.9448991203116109</x:v>
      </x:c>
      <x:c r="N26" s="26" t="n">
        <x:f>M26-L26</x:f>
        <x:v>1.1102230246251565e-16</x:v>
      </x:c>
    </x:row>
    <x:row r="27">
      <x:c r="A27" s="18" t="str">
        <x:v>520-view validation</x:v>
      </x:c>
      <x:c r="B27" s="18" t="str">
        <x:v>C2</x:v>
      </x:c>
      <x:c r="C27" s="18" t="str">
        <x:v>Raytraverse Balanced</x:v>
      </x:c>
      <x:c r="D27" s="21" t="n">
        <x:v>18720</x:v>
      </x:c>
      <x:c r="E27" s="22" t="n">
        <x:v>0.38</x:v>
      </x:c>
      <x:c r="F27" s="21" t="n">
        <x:v>3877</x:v>
      </x:c>
      <x:c r="G27" s="21" t="n">
        <x:v>13976</x:v>
      </x:c>
      <x:c r="H27" s="21" t="n">
        <x:v>124</x:v>
      </x:c>
      <x:c r="I27" s="21" t="n">
        <x:v>743</x:v>
      </x:c>
      <x:c r="J27" s="22" t="n">
        <x:v>0.8391774891774891</x:v>
      </x:c>
      <x:c r="K27" s="22" t="n">
        <x:v>0.9690077480629844</x:v>
      </x:c>
      <x:c r="L27" s="22" t="n">
        <x:v>0.8622837062408254</x:v>
      </x:c>
      <x:c r="M27" s="22" t="n">
        <x:f>IF((4*K27+J27)=0,0,5*K27*J27/(4*K27+J27))</x:f>
        <x:v>0.8622837062408256</x:v>
      </x:c>
      <x:c r="N27" s="26" t="n">
        <x:f>M27-L27</x:f>
        <x:v>2.220446049250313e-16</x:v>
      </x:c>
    </x:row>
    <x:row r="28">
      <x:c r="A28" s="18" t="str">
        <x:v>520-view validation</x:v>
      </x:c>
      <x:c r="B28" s="18" t="str">
        <x:v>C3</x:v>
      </x:c>
      <x:c r="C28" s="18" t="str">
        <x:v>EIGCM (MF1)</x:v>
      </x:c>
      <x:c r="D28" s="21" t="n">
        <x:v>18720</x:v>
      </x:c>
      <x:c r="E28" s="22" t="n">
        <x:v>0.38</x:v>
      </x:c>
      <x:c r="F28" s="21" t="n">
        <x:v>736</x:v>
      </x:c>
      <x:c r="G28" s="21" t="n">
        <x:v>17977</x:v>
      </x:c>
      <x:c r="H28" s="21" t="n">
        <x:v>5</x:v>
      </x:c>
      <x:c r="I28" s="21" t="n">
        <x:v>2</x:v>
      </x:c>
      <x:c r="J28" s="22" t="n">
        <x:v>0.997289972899729</x:v>
      </x:c>
      <x:c r="K28" s="22" t="n">
        <x:v>0.9932523616734144</x:v>
      </x:c>
      <x:c r="L28" s="22" t="n">
        <x:v>0.9964798266991606</x:v>
      </x:c>
      <x:c r="M28" s="22" t="n">
        <x:f>IF((4*K28+J28)=0,0,5*K28*J28/(4*K28+J28))</x:f>
        <x:v>0.9964798266991606</x:v>
      </x:c>
      <x:c r="N28" s="26" t="n">
        <x:f>M28-L28</x:f>
        <x:v>0</x:v>
      </x:c>
    </x:row>
    <x:row r="29">
      <x:c r="A29" s="18" t="str">
        <x:v>520-view validation</x:v>
      </x:c>
      <x:c r="B29" s="18" t="str">
        <x:v>C3</x:v>
      </x:c>
      <x:c r="C29" s="18" t="str">
        <x:v>Jones dcglare</x:v>
      </x:c>
      <x:c r="D29" s="21" t="n">
        <x:v>18720</x:v>
      </x:c>
      <x:c r="E29" s="22" t="n">
        <x:v>0.38</x:v>
      </x:c>
      <x:c r="F29" s="21" t="n">
        <x:v>0</x:v>
      </x:c>
      <x:c r="G29" s="21" t="n">
        <x:v>17982</x:v>
      </x:c>
      <x:c r="H29" s="21" t="n">
        <x:v>0</x:v>
      </x:c>
      <x:c r="I29" s="21" t="n">
        <x:v>738</x:v>
      </x:c>
      <x:c r="J29" s="22" t="n">
        <x:v>0</x:v>
      </x:c>
      <x:c r="K29" s="22" t="n">
        <x:v>0</x:v>
      </x:c>
      <x:c r="L29" s="22" t="n">
        <x:v>0</x:v>
      </x:c>
      <x:c r="M29" s="22" t="n">
        <x:f>IF((4*K29+J29)=0,0,5*K29*J29/(4*K29+J29))</x:f>
        <x:v>0</x:v>
      </x:c>
      <x:c r="N29" s="26" t="n">
        <x:f>M29-L29</x:f>
        <x:v>0</x:v>
      </x:c>
    </x:row>
    <x:row r="30">
      <x:c r="A30" s="18" t="str">
        <x:v>520-view validation</x:v>
      </x:c>
      <x:c r="B30" s="18" t="str">
        <x:v>C3</x:v>
      </x:c>
      <x:c r="C30" s="18" t="str">
        <x:v>Raytraverse Balanced</x:v>
      </x:c>
      <x:c r="D30" s="21" t="n">
        <x:v>18720</x:v>
      </x:c>
      <x:c r="E30" s="22" t="n">
        <x:v>0.38</x:v>
      </x:c>
      <x:c r="F30" s="21" t="n">
        <x:v>582</x:v>
      </x:c>
      <x:c r="G30" s="21" t="n">
        <x:v>17844</x:v>
      </x:c>
      <x:c r="H30" s="21" t="n">
        <x:v>138</x:v>
      </x:c>
      <x:c r="I30" s="21" t="n">
        <x:v>156</x:v>
      </x:c>
      <x:c r="J30" s="22" t="n">
        <x:v>0.7886178861788617</x:v>
      </x:c>
      <x:c r="K30" s="22" t="n">
        <x:v>0.8083333333333333</x:v>
      </x:c>
      <x:c r="L30" s="22" t="n">
        <x:v>0.792483660130719</x:v>
      </x:c>
      <x:c r="M30" s="22" t="n">
        <x:f>IF((4*K30+J30)=0,0,5*K30*J30/(4*K30+J30))</x:f>
        <x:v>0.792483660130719</x:v>
      </x:c>
      <x:c r="N30" s="26" t="n">
        <x:f>M30-L30</x:f>
        <x:v>0</x:v>
      </x:c>
    </x:row>
    <x:row r="31">
      <x:c r="A31" s="18" t="str">
        <x:v>520-view validation</x:v>
      </x:c>
      <x:c r="B31" s="18" t="str">
        <x:v>C3</x:v>
      </x:c>
      <x:c r="C31" s="18" t="str">
        <x:v>Raytraverse High</x:v>
      </x:c>
      <x:c r="D31" s="21" t="n">
        <x:v>18720</x:v>
      </x:c>
      <x:c r="E31" s="22" t="n">
        <x:v>0.38</x:v>
      </x:c>
      <x:c r="F31" s="21" t="n">
        <x:v>593</x:v>
      </x:c>
      <x:c r="G31" s="21" t="n">
        <x:v>17845</x:v>
      </x:c>
      <x:c r="H31" s="21" t="n">
        <x:v>137</x:v>
      </x:c>
      <x:c r="I31" s="21" t="n">
        <x:v>145</x:v>
      </x:c>
      <x:c r="J31" s="22" t="n">
        <x:v>0.8035230352303523</x:v>
      </x:c>
      <x:c r="K31" s="22" t="n">
        <x:v>0.8123287671232877</x:v>
      </x:c>
      <x:c r="L31" s="22" t="n">
        <x:v>0.805268875611081</x:v>
      </x:c>
      <x:c r="M31" s="22" t="n">
        <x:f>IF((4*K31+J31)=0,0,5*K31*J31/(4*K31+J31))</x:f>
        <x:v>0.805268875611081</x:v>
      </x:c>
      <x:c r="N31" s="26" t="n">
        <x:f>M31-L31</x:f>
        <x:v>0</x:v>
      </x:c>
    </x:row>
    <x:row r="32">
      <x:c r="A32" s="18" t="str">
        <x:v>520-view validation</x:v>
      </x:c>
      <x:c r="B32" s="18" t="str">
        <x:v>C4</x:v>
      </x:c>
      <x:c r="C32" s="18" t="str">
        <x:v>EIGCM (MF1)</x:v>
      </x:c>
      <x:c r="D32" s="21" t="n">
        <x:v>18720</x:v>
      </x:c>
      <x:c r="E32" s="22" t="n">
        <x:v>0.38</x:v>
      </x:c>
      <x:c r="F32" s="21" t="n">
        <x:v>2231</x:v>
      </x:c>
      <x:c r="G32" s="21" t="n">
        <x:v>16321</x:v>
      </x:c>
      <x:c r="H32" s="21" t="n">
        <x:v>68</x:v>
      </x:c>
      <x:c r="I32" s="21" t="n">
        <x:v>100</x:v>
      </x:c>
      <x:c r="J32" s="22" t="n">
        <x:v>0.9570999570999572</x:v>
      </x:c>
      <x:c r="K32" s="22" t="n">
        <x:v>0.9704219225750326</x:v>
      </x:c>
      <x:c r="L32" s="22" t="n">
        <x:v>0.9597350081734493</x:v>
      </x:c>
      <x:c r="M32" s="22" t="n">
        <x:f>IF((4*K32+J32)=0,0,5*K32*J32/(4*K32+J32))</x:f>
        <x:v>0.9597350081734493</x:v>
      </x:c>
      <x:c r="N32" s="26" t="n">
        <x:f>M32-L32</x:f>
        <x:v>0</x:v>
      </x:c>
    </x:row>
    <x:row r="33">
      <x:c r="A33" s="18" t="str">
        <x:v>520-view validation</x:v>
      </x:c>
      <x:c r="B33" s="18" t="str">
        <x:v>C4</x:v>
      </x:c>
      <x:c r="C33" s="18" t="str">
        <x:v>Jones dcglare</x:v>
      </x:c>
      <x:c r="D33" s="21" t="n">
        <x:v>18720</x:v>
      </x:c>
      <x:c r="E33" s="22" t="n">
        <x:v>0.38</x:v>
      </x:c>
      <x:c r="F33" s="21" t="n">
        <x:v>2189</x:v>
      </x:c>
      <x:c r="G33" s="21" t="n">
        <x:v>16133</x:v>
      </x:c>
      <x:c r="H33" s="21" t="n">
        <x:v>256</x:v>
      </x:c>
      <x:c r="I33" s="21" t="n">
        <x:v>142</x:v>
      </x:c>
      <x:c r="J33" s="22" t="n">
        <x:v>0.939081939081939</x:v>
      </x:c>
      <x:c r="K33" s="22" t="n">
        <x:v>0.8952965235173824</x:v>
      </x:c>
      <x:c r="L33" s="22" t="n">
        <x:v>0.9299855552723256</x:v>
      </x:c>
      <x:c r="M33" s="22" t="n">
        <x:f>IF((4*K33+J33)=0,0,5*K33*J33/(4*K33+J33))</x:f>
        <x:v>0.9299855552723255</x:v>
      </x:c>
      <x:c r="N33" s="26" t="n">
        <x:f>M33-L33</x:f>
        <x:v>-1.1102230246251565e-16</x:v>
      </x:c>
    </x:row>
    <x:row r="34">
      <x:c r="A34" s="18" t="str">
        <x:v>520-view validation</x:v>
      </x:c>
      <x:c r="B34" s="18" t="str">
        <x:v>C4</x:v>
      </x:c>
      <x:c r="C34" s="18" t="str">
        <x:v>Raytraverse Balanced</x:v>
      </x:c>
      <x:c r="D34" s="21" t="n">
        <x:v>18720</x:v>
      </x:c>
      <x:c r="E34" s="22" t="n">
        <x:v>0.38</x:v>
      </x:c>
      <x:c r="F34" s="21" t="n">
        <x:v>2014</x:v>
      </x:c>
      <x:c r="G34" s="21" t="n">
        <x:v>16094</x:v>
      </x:c>
      <x:c r="H34" s="21" t="n">
        <x:v>295</x:v>
      </x:c>
      <x:c r="I34" s="21" t="n">
        <x:v>317</x:v>
      </x:c>
      <x:c r="J34" s="22" t="n">
        <x:v>0.864006864006864</x:v>
      </x:c>
      <x:c r="K34" s="22" t="n">
        <x:v>0.8722390645300996</x:v>
      </x:c>
      <x:c r="L34" s="22" t="n">
        <x:v>0.8656408493080031</x:v>
      </x:c>
      <x:c r="M34" s="22" t="n">
        <x:f>IF((4*K34+J34)=0,0,5*K34*J34/(4*K34+J34))</x:f>
        <x:v>0.8656408493080031</x:v>
      </x:c>
      <x:c r="N34" s="26" t="n">
        <x:f>M34-L34</x:f>
        <x:v>0</x:v>
      </x:c>
    </x:row>
    <x:row r="35">
      <x:c r="A35" s="18" t="str">
        <x:v>520-view validation</x:v>
      </x:c>
      <x:c r="B35" s="18" t="str">
        <x:v>C4</x:v>
      </x:c>
      <x:c r="C35" s="18" t="str">
        <x:v>Raytraverse High</x:v>
      </x:c>
      <x:c r="D35" s="21" t="n">
        <x:v>18720</x:v>
      </x:c>
      <x:c r="E35" s="22" t="n">
        <x:v>0.38</x:v>
      </x:c>
      <x:c r="F35" s="21" t="n">
        <x:v>2034</x:v>
      </x:c>
      <x:c r="G35" s="21" t="n">
        <x:v>16076</x:v>
      </x:c>
      <x:c r="H35" s="21" t="n">
        <x:v>313</x:v>
      </x:c>
      <x:c r="I35" s="21" t="n">
        <x:v>297</x:v>
      </x:c>
      <x:c r="J35" s="22" t="n">
        <x:v>0.8725868725868726</x:v>
      </x:c>
      <x:c r="K35" s="22" t="n">
        <x:v>0.8666382616105667</x:v>
      </x:c>
      <x:c r="L35" s="22" t="n">
        <x:v>0.8713906263387885</x:v>
      </x:c>
      <x:c r="M35" s="22" t="n">
        <x:f>IF((4*K35+J35)=0,0,5*K35*J35/(4*K35+J35))</x:f>
        <x:v>0.8713906263387885</x:v>
      </x:c>
      <x:c r="N35" s="26" t="n">
        <x:f>M35-L35</x:f>
        <x:v>0</x:v>
      </x:c>
    </x:row>
  </x:sheetData>
  <x:mergeCells>
    <x:mergeCell ref="A1:N1"/>
    <x:mergeCell ref="A2:N2"/>
    <x:mergeCell ref="A4:N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5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2" hidden="0" customWidth="1"/>
    <x:col min="12" max="12" width="12" hidden="0" customWidth="1"/>
    <x:col min="13" max="13" width="12" hidden="0" customWidth="1"/>
    <x:col min="14" max="14" width="13" hidden="0" customWidth="1"/>
    <x:col min="15" max="15" width="35" hidden="0" customWidth="1"/>
  </x:cols>
  <x:sheetData>
    <x:row r="1" ht="28" customHeight="1">
      <x:c r="A1" s="2" t="str">
        <x:v>DGP errors by reference-DGP range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Exact bin counts and metrics used in Fig. 12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4" ht="22" customHeight="1">
      <x:c r="A4" s="6" t="str">
        <x:v>Stratified metrics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 ht="42" customHeight="1">
      <x:c r="A5" s="14" t="str">
        <x:v>case</x:v>
      </x:c>
      <x:c r="B5" s="14" t="str">
        <x:v>reference_range</x:v>
      </x:c>
      <x:c r="C5" s="14" t="str">
        <x:v>method</x:v>
      </x:c>
      <x:c r="D5" s="14" t="str">
        <x:v>n</x:v>
      </x:c>
      <x:c r="E5" s="14" t="str">
        <x:v>MAE</x:v>
      </x:c>
      <x:c r="F5" s="14" t="str">
        <x:v>RMSE</x:v>
      </x:c>
      <x:c r="G5" s="14" t="str">
        <x:v>MBE</x:v>
      </x:c>
      <x:c r="H5" s="14" t="str">
        <x:v>median_AE</x:v>
      </x:c>
      <x:c r="I5" s="14" t="str">
        <x:v>P95_AE</x:v>
      </x:c>
      <x:c r="J5" s="14" t="str">
        <x:v>max_AE</x:v>
      </x:c>
      <x:c r="K5" s="14" t="str">
        <x:v>CCC</x:v>
      </x:c>
      <x:c r="L5" s="14" t="str">
        <x:v>fit_R2</x:v>
      </x:c>
      <x:c r="M5" s="14" t="str">
        <x:v>slope</x:v>
      </x:c>
      <x:c r="N5" s="14" t="str">
        <x:v>intercept</x:v>
      </x:c>
      <x:c r="O5" s="14" t="str">
        <x:v>source_file</x:v>
      </x:c>
      <x:c r="P5" s="14" t="str">
        <x:v>P99_AE</x:v>
      </x:c>
    </x:row>
    <x:row r="6">
      <x:c r="A6" s="18" t="str">
        <x:v>C1</x:v>
      </x:c>
      <x:c r="B6" s="18" t="str">
        <x:v>DGP &lt; 0.34</x:v>
      </x:c>
      <x:c r="C6" s="18" t="str">
        <x:v>EIGCM (MF1)</x:v>
      </x:c>
      <x:c r="D6" s="21" t="n">
        <x:v>15270</x:v>
      </x:c>
      <x:c r="E6" s="22" t="n">
        <x:v>0.004587333713163</x:v>
      </x:c>
      <x:c r="F6" s="22" t="n">
        <x:v>0.0103231849989243</x:v>
      </x:c>
      <x:c r="G6" s="22" t="n">
        <x:v>-0.0024043825147347</x:v>
      </x:c>
      <x:c r="H6" s="22" t="n">
        <x:v>0.0004762999999999</x:v>
      </x:c>
      <x:c r="I6" s="22" t="n">
        <x:v>0.02189965</x:v>
      </x:c>
      <x:c r="J6" s="18" t="n">
        <x:v>0.3301783</x:v>
      </x:c>
      <x:c r="K6" s="22" t="n">
        <x:v>0.977068081988767</x:v>
      </x:c>
      <x:c r="L6" s="22" t="n">
        <x:v>0.9596653181171222</x:v>
      </x:c>
      <x:c r="M6" s="22" t="n">
        <x:v>0.9296752656916184</x:v>
      </x:c>
      <x:c r="N6" s="22" t="n">
        <x:v>0.012034954732435</x:v>
      </x:c>
      <x:c r="O6" s="18" t="str">
        <x:v>stratified_dgp_metrics.csv</x:v>
      </x:c>
      <x:c r="P6" s="18"/>
    </x:row>
    <x:row r="7">
      <x:c r="A7" s="18" t="str">
        <x:v>C1</x:v>
      </x:c>
      <x:c r="B7" s="18" t="str">
        <x:v>DGP &lt; 0.34</x:v>
      </x:c>
      <x:c r="C7" s="18" t="str">
        <x:v>Jones dcglare</x:v>
      </x:c>
      <x:c r="D7" s="21" t="n">
        <x:v>15270</x:v>
      </x:c>
      <x:c r="E7" s="22" t="n">
        <x:v>0.0054461133417565</x:v>
      </x:c>
      <x:c r="F7" s="22" t="n">
        <x:v>0.0137255078044714</x:v>
      </x:c>
      <x:c r="G7" s="22" t="n">
        <x:v>0.0014582253277358</x:v>
      </x:c>
      <x:c r="H7" s="22" t="n">
        <x:v>0.0015731170725749</x:v>
      </x:c>
      <x:c r="I7" s="22" t="n">
        <x:v>0.021920530574954</x:v>
      </x:c>
      <x:c r="J7" s="18" t="n">
        <x:v>0.3275181</x:v>
      </x:c>
      <x:c r="K7" s="22" t="n">
        <x:v>0.962784781766907</x:v>
      </x:c>
      <x:c r="L7" s="22" t="n">
        <x:v>0.9288573056307804</x:v>
      </x:c>
      <x:c r="M7" s="22" t="n">
        <x:v>0.9978951206207396</x:v>
      </x:c>
      <x:c r="N7" s="22" t="n">
        <x:v>0.0018904070276835</x:v>
      </x:c>
      <x:c r="O7" s="18" t="str">
        <x:v>stratified_dgp_metrics.csv</x:v>
      </x:c>
      <x:c r="P7" s="18"/>
    </x:row>
    <x:row r="8">
      <x:c r="A8" s="18" t="str">
        <x:v>C1</x:v>
      </x:c>
      <x:c r="B8" s="18" t="str">
        <x:v>DGP &lt; 0.34</x:v>
      </x:c>
      <x:c r="C8" s="18" t="str">
        <x:v>Raytraverse Balanced</x:v>
      </x:c>
      <x:c r="D8" s="21" t="n">
        <x:v>15270</x:v>
      </x:c>
      <x:c r="E8" s="22" t="n">
        <x:v>0.0084617879483843</x:v>
      </x:c>
      <x:c r="F8" s="22" t="n">
        <x:v>0.0425803382236341</x:v>
      </x:c>
      <x:c r="G8" s="22" t="n">
        <x:v>0.0028228970629138</x:v>
      </x:c>
      <x:c r="H8" s="22" t="n">
        <x:v>0.0015569150807386</x:v>
      </x:c>
      <x:c r="I8" s="22" t="n">
        <x:v>0.0260337940688271</x:v>
      </x:c>
      <x:c r="J8" s="18" t="n">
        <x:v>0.817752</x:v>
      </x:c>
      <x:c r="K8" s="22" t="n">
        <x:v>0.7354913300673748</x:v>
      </x:c>
      <x:c r="L8" s="22" t="n">
        <x:v>0.5907452660289978</x:v>
      </x:c>
      <x:c r="M8" s="22" t="n">
        <x:v>1.0322271303263666</x:v>
      </x:c>
      <x:c r="N8" s="22" t="n">
        <x:v>-0.0037940977663922</x:v>
      </x:c>
      <x:c r="O8" s="18" t="str">
        <x:v>stratified_dgp_metrics.csv</x:v>
      </x:c>
      <x:c r="P8" s="18"/>
    </x:row>
    <x:row r="9">
      <x:c r="A9" s="18" t="str">
        <x:v>C1</x:v>
      </x:c>
      <x:c r="B9" s="18" t="str">
        <x:v>DGP &lt; 0.34</x:v>
      </x:c>
      <x:c r="C9" s="18" t="str">
        <x:v>Raytraverse High</x:v>
      </x:c>
      <x:c r="D9" s="21" t="n">
        <x:v>15270</x:v>
      </x:c>
      <x:c r="E9" s="22" t="n">
        <x:v>0.0081794341933726</x:v>
      </x:c>
      <x:c r="F9" s="22" t="n">
        <x:v>0.0435407863780092</x:v>
      </x:c>
      <x:c r="G9" s="22" t="n">
        <x:v>0.0034251606763307</x:v>
      </x:c>
      <x:c r="H9" s="22" t="n">
        <x:v>0.0013536406170276</x:v>
      </x:c>
      <x:c r="I9" s="22" t="n">
        <x:v>0.0245074305008595</x:v>
      </x:c>
      <x:c r="J9" s="18" t="n">
        <x:v>0.817752</x:v>
      </x:c>
      <x:c r="K9" s="22" t="n">
        <x:v>0.7302151085525602</x:v>
      </x:c>
      <x:c r="L9" s="22" t="n">
        <x:v>0.5893987428389307</x:v>
      </x:c>
      <x:c r="M9" s="22" t="n">
        <x:v>1.0506187248811536</x:v>
      </x:c>
      <x:c r="N9" s="22" t="n">
        <x:v>-0.0069680650751607</x:v>
      </x:c>
      <x:c r="O9" s="18" t="str">
        <x:v>stratified_dgp_metrics.csv</x:v>
      </x:c>
      <x:c r="P9" s="18"/>
    </x:row>
    <x:row r="10">
      <x:c r="A10" s="18" t="str">
        <x:v>C1</x:v>
      </x:c>
      <x:c r="B10" s="18" t="str">
        <x:v>0.34 &lt;= DGP &lt; 0.38</x:v>
      </x:c>
      <x:c r="C10" s="18" t="str">
        <x:v>EIGCM (MF1)</x:v>
      </x:c>
      <x:c r="D10" s="21" t="n">
        <x:v>878</x:v>
      </x:c>
      <x:c r="E10" s="22" t="n">
        <x:v>0.0138615597949886</x:v>
      </x:c>
      <x:c r="F10" s="22" t="n">
        <x:v>0.0177324297684977</x:v>
      </x:c>
      <x:c r="G10" s="22" t="n">
        <x:v>-0.0105779602505694</x:v>
      </x:c>
      <x:c r="H10" s="22" t="n">
        <x:v>0.0113123499999999</x:v>
      </x:c>
      <x:c r="I10" s="22" t="n">
        <x:v>0.03404349</x:v>
      </x:c>
      <x:c r="J10" s="18" t="n">
        <x:v>0.0903237</x:v>
      </x:c>
      <x:c r="K10" s="22" t="n">
        <x:v>0.4761548523457874</x:v>
      </x:c>
      <x:c r="L10" s="22" t="n">
        <x:v>0.4246737019019569</x:v>
      </x:c>
      <x:c r="M10" s="22" t="n">
        <x:v>1.0447783828296515</x:v>
      </x:c>
      <x:c r="N10" s="22" t="n">
        <x:v>-0.0266378241532523</x:v>
      </x:c>
      <x:c r="O10" s="18" t="str">
        <x:v>stratified_dgp_metrics.csv</x:v>
      </x:c>
      <x:c r="P10" s="18"/>
    </x:row>
    <x:row r="11">
      <x:c r="A11" s="18" t="str">
        <x:v>C1</x:v>
      </x:c>
      <x:c r="B11" s="18" t="str">
        <x:v>0.34 &lt;= DGP &lt; 0.38</x:v>
      </x:c>
      <x:c r="C11" s="18" t="str">
        <x:v>Jones dcglare</x:v>
      </x:c>
      <x:c r="D11" s="21" t="n">
        <x:v>878</x:v>
      </x:c>
      <x:c r="E11" s="22" t="n">
        <x:v>0.0239082762236204</x:v>
      </x:c>
      <x:c r="F11" s="22" t="n">
        <x:v>0.055814891859514</x:v>
      </x:c>
      <x:c r="G11" s="22" t="n">
        <x:v>0.0112186604506392</x:v>
      </x:c>
      <x:c r="H11" s="22" t="n">
        <x:v>0.00757435</x:v>
      </x:c>
      <x:c r="I11" s="22" t="n">
        <x:v>0.1164048649999999</x:v>
      </x:c>
      <x:c r="J11" s="18" t="n">
        <x:v>0.4025658</x:v>
      </x:c>
      <x:c r="K11" s="22" t="n">
        <x:v>0.1127702457415877</x:v>
      </x:c>
      <x:c r="L11" s="22" t="n">
        <x:v>0.0882123728421905</x:v>
      </x:c>
      <x:c r="M11" s="22" t="n">
        <x:v>1.4474414205652462</x:v>
      </x:c>
      <x:c r="N11" s="22" t="n">
        <x:v>-0.1492571733023972</x:v>
      </x:c>
      <x:c r="O11" s="18" t="str">
        <x:v>stratified_dgp_metrics.csv</x:v>
      </x:c>
      <x:c r="P11" s="18"/>
    </x:row>
    <x:row r="12">
      <x:c r="A12" s="18" t="str">
        <x:v>C1</x:v>
      </x:c>
      <x:c r="B12" s="18" t="str">
        <x:v>0.34 &lt;= DGP &lt; 0.38</x:v>
      </x:c>
      <x:c r="C12" s="18" t="str">
        <x:v>Raytraverse Balanced</x:v>
      </x:c>
      <x:c r="D12" s="21" t="n">
        <x:v>878</x:v>
      </x:c>
      <x:c r="E12" s="22" t="n">
        <x:v>0.0391738827885879</x:v>
      </x:c>
      <x:c r="F12" s="22" t="n">
        <x:v>0.0968432763607302</x:v>
      </x:c>
      <x:c r="G12" s="22" t="n">
        <x:v>0.0011649800104867</x:v>
      </x:c>
      <x:c r="H12" s="22" t="n">
        <x:v>0.0166702114549255</x:v>
      </x:c>
      <x:c r="I12" s="22" t="n">
        <x:v>0.1096458723528812</x:v>
      </x:c>
      <x:c r="J12" s="18" t="n">
        <x:v>0.655348</x:v>
      </x:c>
      <x:c r="K12" s="22" t="n">
        <x:v>0.0292811923146312</x:v>
      </x:c>
      <x:c r="L12" s="22" t="n">
        <x:v>0.015359946402254</x:v>
      </x:c>
      <x:c r="M12" s="22" t="n">
        <x:v>1.034133609161289</x:v>
      </x:c>
      <x:c r="N12" s="22" t="n">
        <x:v>-0.0110771127806507</x:v>
      </x:c>
      <x:c r="O12" s="18" t="str">
        <x:v>stratified_dgp_metrics.csv</x:v>
      </x:c>
      <x:c r="P12" s="18"/>
    </x:row>
    <x:row r="13">
      <x:c r="A13" s="18" t="str">
        <x:v>C1</x:v>
      </x:c>
      <x:c r="B13" s="18" t="str">
        <x:v>0.34 &lt;= DGP &lt; 0.38</x:v>
      </x:c>
      <x:c r="C13" s="18" t="str">
        <x:v>Raytraverse High</x:v>
      </x:c>
      <x:c r="D13" s="21" t="n">
        <x:v>878</x:v>
      </x:c>
      <x:c r="E13" s="22" t="n">
        <x:v>0.0362243507097695</x:v>
      </x:c>
      <x:c r="F13" s="22" t="n">
        <x:v>0.0955340256953151</x:v>
      </x:c>
      <x:c r="G13" s="22" t="n">
        <x:v>0.0055531362160045</x:v>
      </x:c>
      <x:c r="H13" s="22" t="n">
        <x:v>0.0137678543071928</x:v>
      </x:c>
      <x:c r="I13" s="22" t="n">
        <x:v>0.1039716700850486</x:v>
      </x:c>
      <x:c r="J13" s="18" t="n">
        <x:v>0.655348</x:v>
      </x:c>
      <x:c r="K13" s="22" t="n">
        <x:v>0.0315222129882731</x:v>
      </x:c>
      <x:c r="L13" s="22" t="n">
        <x:v>0.0174247476767852</x:v>
      </x:c>
      <x:c r="M13" s="22" t="n">
        <x:v>1.0858893776571164</x:v>
      </x:c>
      <x:c r="N13" s="22" t="n">
        <x:v>-0.0252512749461159</x:v>
      </x:c>
      <x:c r="O13" s="18" t="str">
        <x:v>stratified_dgp_metrics.csv</x:v>
      </x:c>
      <x:c r="P13" s="18"/>
    </x:row>
    <x:row r="14">
      <x:c r="A14" s="18" t="str">
        <x:v>C1</x:v>
      </x:c>
      <x:c r="B14" s="18" t="str">
        <x:v>0.38 &lt;= DGP &lt; 0.45</x:v>
      </x:c>
      <x:c r="C14" s="18" t="str">
        <x:v>EIGCM (MF1)</x:v>
      </x:c>
      <x:c r="D14" s="21" t="n">
        <x:v>865</x:v>
      </x:c>
      <x:c r="E14" s="22" t="n">
        <x:v>0.0149369832369942</x:v>
      </x:c>
      <x:c r="F14" s="22" t="n">
        <x:v>0.0242268408827916</x:v>
      </x:c>
      <x:c r="G14" s="22" t="n">
        <x:v>-0.0099993164161849</x:v>
      </x:c>
      <x:c r="H14" s="22" t="n">
        <x:v>0.0106674999999999</x:v>
      </x:c>
      <x:c r="I14" s="22" t="n">
        <x:v>0.0376201799999999</x:v>
      </x:c>
      <x:c r="J14" s="18" t="n">
        <x:v>0.2090662999999999</x:v>
      </x:c>
      <x:c r="K14" s="22" t="n">
        <x:v>0.5861342857486559</x:v>
      </x:c>
      <x:c r="L14" s="22" t="n">
        <x:v>0.4707758437364855</x:v>
      </x:c>
      <x:c r="M14" s="22" t="n">
        <x:v>1.0408004320124364</x:v>
      </x:c>
      <x:c r="N14" s="22" t="n">
        <x:v>-0.0267627184645497</x:v>
      </x:c>
      <x:c r="O14" s="18" t="str">
        <x:v>stratified_dgp_metrics.csv</x:v>
      </x:c>
      <x:c r="P14" s="18"/>
    </x:row>
    <x:row r="15">
      <x:c r="A15" s="18" t="str">
        <x:v>C1</x:v>
      </x:c>
      <x:c r="B15" s="18" t="str">
        <x:v>0.38 &lt;= DGP &lt; 0.45</x:v>
      </x:c>
      <x:c r="C15" s="18" t="str">
        <x:v>Jones dcglare</x:v>
      </x:c>
      <x:c r="D15" s="21" t="n">
        <x:v>865</x:v>
      </x:c>
      <x:c r="E15" s="22" t="n">
        <x:v>0.0485098959801869</x:v>
      </x:c>
      <x:c r="F15" s="22" t="n">
        <x:v>0.0976727164358238</x:v>
      </x:c>
      <x:c r="G15" s="22" t="n">
        <x:v>0.0304369805516049</x:v>
      </x:c>
      <x:c r="H15" s="22" t="n">
        <x:v>0.0123902999999999</x:v>
      </x:c>
      <x:c r="I15" s="22" t="n">
        <x:v>0.2685394553631043</x:v>
      </x:c>
      <x:c r="J15" s="18" t="n">
        <x:v>0.4874458</x:v>
      </x:c>
      <x:c r="K15" s="22" t="n">
        <x:v>0.1033148071135862</x:v>
      </x:c>
      <x:c r="L15" s="22" t="n">
        <x:v>0.0812149958896953</x:v>
      </x:c>
      <x:c r="M15" s="22" t="n">
        <x:v>1.3762753049689354</x:v>
      </x:c>
      <x:c r="N15" s="22" t="n">
        <x:v>-0.1241607505739527</x:v>
      </x:c>
      <x:c r="O15" s="18" t="str">
        <x:v>stratified_dgp_metrics.csv</x:v>
      </x:c>
      <x:c r="P15" s="18"/>
    </x:row>
    <x:row r="16">
      <x:c r="A16" s="18" t="str">
        <x:v>C1</x:v>
      </x:c>
      <x:c r="B16" s="18" t="str">
        <x:v>0.38 &lt;= DGP &lt; 0.45</x:v>
      </x:c>
      <x:c r="C16" s="18" t="str">
        <x:v>Raytraverse Balanced</x:v>
      </x:c>
      <x:c r="D16" s="21" t="n">
        <x:v>865</x:v>
      </x:c>
      <x:c r="E16" s="22" t="n">
        <x:v>0.0627499192036762</x:v>
      </x:c>
      <x:c r="F16" s="22" t="n">
        <x:v>0.1361218448065137</x:v>
      </x:c>
      <x:c r="G16" s="22" t="n">
        <x:v>0.0102611477680302</x:v>
      </x:c>
      <x:c r="H16" s="22" t="n">
        <x:v>0.0233243223522911</x:v>
      </x:c>
      <x:c r="I16" s="22" t="n">
        <x:v>0.2804364952206927</x:v>
      </x:c>
      <x:c r="J16" s="18" t="n">
        <x:v>0.61898</x:v>
      </x:c>
      <x:c r="K16" s="22" t="n">
        <x:v>0.0286796006163027</x:v>
      </x:c>
      <x:c r="L16" s="22" t="n">
        <x:v>0.0100899404920762</x:v>
      </x:c>
      <x:c r="M16" s="22" t="n">
        <x:v>0.6850187447558885</x:v>
      </x:c>
      <x:c r="N16" s="22" t="n">
        <x:v>0.1396754004834454</x:v>
      </x:c>
      <x:c r="O16" s="18" t="str">
        <x:v>stratified_dgp_metrics.csv</x:v>
      </x:c>
      <x:c r="P16" s="18"/>
    </x:row>
    <x:row r="17">
      <x:c r="A17" s="18" t="str">
        <x:v>C1</x:v>
      </x:c>
      <x:c r="B17" s="18" t="str">
        <x:v>0.38 &lt;= DGP &lt; 0.45</x:v>
      </x:c>
      <x:c r="C17" s="18" t="str">
        <x:v>Raytraverse High</x:v>
      </x:c>
      <x:c r="D17" s="21" t="n">
        <x:v>865</x:v>
      </x:c>
      <x:c r="E17" s="22" t="n">
        <x:v>0.0609377858032417</x:v>
      </x:c>
      <x:c r="F17" s="22" t="n">
        <x:v>0.1382695434135393</x:v>
      </x:c>
      <x:c r="G17" s="22" t="n">
        <x:v>0.0181233965673829</x:v>
      </x:c>
      <x:c r="H17" s="22" t="n">
        <x:v>0.0190103085733295</x:v>
      </x:c>
      <x:c r="I17" s="22" t="n">
        <x:v>0.3221474532134299</x:v>
      </x:c>
      <x:c r="J17" s="18" t="n">
        <x:v>0.61898</x:v>
      </x:c>
      <x:c r="K17" s="22" t="n">
        <x:v>0.0280893862328205</x:v>
      </x:c>
      <x:c r="L17" s="22" t="n">
        <x:v>0.0100899795306729</x:v>
      </x:c>
      <x:c r="M17" s="22" t="n">
        <x:v>0.691839248181638</x:v>
      </x:c>
      <x:c r="N17" s="22" t="n">
        <x:v>0.1447353544182917</x:v>
      </x:c>
      <x:c r="O17" s="18" t="str">
        <x:v>stratified_dgp_metrics.csv</x:v>
      </x:c>
      <x:c r="P17" s="18"/>
    </x:row>
    <x:row r="18">
      <x:c r="A18" s="18" t="str">
        <x:v>C1</x:v>
      </x:c>
      <x:c r="B18" s="18" t="str">
        <x:v>DGP &gt;= 0.45</x:v>
      </x:c>
      <x:c r="C18" s="18" t="str">
        <x:v>EIGCM (MF1)</x:v>
      </x:c>
      <x:c r="D18" s="21" t="n">
        <x:v>1707</x:v>
      </x:c>
      <x:c r="E18" s="22" t="n">
        <x:v>0.0159341782659636</x:v>
      </x:c>
      <x:c r="F18" s="22" t="n">
        <x:v>0.0453417462696833</x:v>
      </x:c>
      <x:c r="G18" s="22" t="n">
        <x:v>-0.0073045396016403</x:v>
      </x:c>
      <x:c r="H18" s="22" t="n">
        <x:v>0.0053003999999999</x:v>
      </x:c>
      <x:c r="I18" s="22" t="n">
        <x:v>0.0531329999999999</x:v>
      </x:c>
      <x:c r="J18" s="18" t="n">
        <x:v>0.7100477000000001</x:v>
      </x:c>
      <x:c r="K18" s="22" t="n">
        <x:v>0.980081309125544</x:v>
      </x:c>
      <x:c r="L18" s="22" t="n">
        <x:v>0.9632640927239212</x:v>
      </x:c>
      <x:c r="M18" s="22" t="n">
        <x:v>1.0237318046386763</x:v>
      </x:c>
      <x:c r="N18" s="22" t="n">
        <x:v>-0.0245454079704293</x:v>
      </x:c>
      <x:c r="O18" s="18" t="str">
        <x:v>stratified_dgp_metrics.csv</x:v>
      </x:c>
      <x:c r="P18" s="18"/>
    </x:row>
    <x:row r="19">
      <x:c r="A19" s="18" t="str">
        <x:v>C1</x:v>
      </x:c>
      <x:c r="B19" s="18" t="str">
        <x:v>DGP &gt;= 0.45</x:v>
      </x:c>
      <x:c r="C19" s="18" t="str">
        <x:v>Jones dcglare</x:v>
      </x:c>
      <x:c r="D19" s="21" t="n">
        <x:v>1707</x:v>
      </x:c>
      <x:c r="E19" s="22" t="n">
        <x:v>0.1082130929265853</x:v>
      </x:c>
      <x:c r="F19" s="22" t="n">
        <x:v>0.1826736674057205</x:v>
      </x:c>
      <x:c r="G19" s="22" t="n">
        <x:v>-0.0314763670917874</x:v>
      </x:c>
      <x:c r="H19" s="22" t="n">
        <x:v>0.013197</x:v>
      </x:c>
      <x:c r="I19" s="22" t="n">
        <x:v>0.4109998799999996</x:v>
      </x:c>
      <x:c r="J19" s="18" t="n">
        <x:v>0.6832005</x:v>
      </x:c>
      <x:c r="K19" s="22" t="n">
        <x:v>0.6888217159506375</x:v>
      </x:c>
      <x:c r="L19" s="22" t="n">
        <x:v>0.4857434076109452</x:v>
      </x:c>
      <x:c r="M19" s="22" t="n">
        <x:v>0.7475458596240566</x:v>
      </x:c>
      <x:c r="N19" s="22" t="n">
        <x:v>0.1519285053840234</x:v>
      </x:c>
      <x:c r="O19" s="18" t="str">
        <x:v>stratified_dgp_metrics.csv</x:v>
      </x:c>
      <x:c r="P19" s="18"/>
    </x:row>
    <x:row r="20">
      <x:c r="A20" s="18" t="str">
        <x:v>C1</x:v>
      </x:c>
      <x:c r="B20" s="18" t="str">
        <x:v>DGP &gt;= 0.45</x:v>
      </x:c>
      <x:c r="C20" s="18" t="str">
        <x:v>Raytraverse Balanced</x:v>
      </x:c>
      <x:c r="D20" s="21" t="n">
        <x:v>1707</x:v>
      </x:c>
      <x:c r="E20" s="22" t="n">
        <x:v>0.1178496533263009</x:v>
      </x:c>
      <x:c r="F20" s="22" t="n">
        <x:v>0.2123454337936761</x:v>
      </x:c>
      <x:c r="G20" s="22" t="n">
        <x:v>-0.0715260307060601</x:v>
      </x:c>
      <x:c r="H20" s="22" t="n">
        <x:v>0.0318283319144179</x:v>
      </x:c>
      <x:c r="I20" s="22" t="n">
        <x:v>0.5395476746552079</x:v>
      </x:c>
      <x:c r="J20" s="18" t="n">
        <x:v>0.7712659193143268</x:v>
      </x:c>
      <x:c r="K20" s="22" t="n">
        <x:v>0.6288152641858347</x:v>
      </x:c>
      <x:c r="L20" s="22" t="n">
        <x:v>0.4409721925180651</x:v>
      </x:c>
      <x:c r="M20" s="22" t="n">
        <x:v>0.7730493439665821</x:v>
      </x:c>
      <x:c r="N20" s="22" t="n">
        <x:v>0.0933508695742296</x:v>
      </x:c>
      <x:c r="O20" s="18" t="str">
        <x:v>stratified_dgp_metrics.csv</x:v>
      </x:c>
      <x:c r="P20" s="18"/>
    </x:row>
    <x:row r="21">
      <x:c r="A21" s="18" t="str">
        <x:v>C1</x:v>
      </x:c>
      <x:c r="B21" s="18" t="str">
        <x:v>DGP &gt;= 0.45</x:v>
      </x:c>
      <x:c r="C21" s="18" t="str">
        <x:v>Raytraverse High</x:v>
      </x:c>
      <x:c r="D21" s="21" t="n">
        <x:v>1707</x:v>
      </x:c>
      <x:c r="E21" s="22" t="n">
        <x:v>0.1173838782456262</x:v>
      </x:c>
      <x:c r="F21" s="22" t="n">
        <x:v>0.2112783535471967</x:v>
      </x:c>
      <x:c r="G21" s="22" t="n">
        <x:v>-0.065884675687076</x:v>
      </x:c>
      <x:c r="H21" s="22" t="n">
        <x:v>0.0305452381436145</x:v>
      </x:c>
      <x:c r="I21" s="22" t="n">
        <x:v>0.5320353152150096</x:v>
      </x:c>
      <x:c r="J21" s="18" t="n">
        <x:v>0.7650858366868951</x:v>
      </x:c>
      <x:c r="K21" s="22" t="n">
        <x:v>0.6295023328827647</x:v>
      </x:c>
      <x:c r="L21" s="22" t="n">
        <x:v>0.4361584323130131</x:v>
      </x:c>
      <x:c r="M21" s="22" t="n">
        <x:v>0.7675563514972906</x:v>
      </x:c>
      <x:c r="N21" s="22" t="n">
        <x:v>0.1029828170304805</x:v>
      </x:c>
      <x:c r="O21" s="18" t="str">
        <x:v>stratified_dgp_metrics.csv</x:v>
      </x:c>
      <x:c r="P21" s="18"/>
    </x:row>
    <x:row r="22">
      <x:c r="A22" s="18" t="str">
        <x:v>C2</x:v>
      </x:c>
      <x:c r="B22" s="18" t="str">
        <x:v>DGP &lt; 0.34</x:v>
      </x:c>
      <x:c r="C22" s="18" t="str">
        <x:v>EIGCM (MF1)</x:v>
      </x:c>
      <x:c r="D22" s="21" t="n">
        <x:v>13264</x:v>
      </x:c>
      <x:c r="E22" s="22" t="n">
        <x:v>0.0046600544179734</x:v>
      </x:c>
      <x:c r="F22" s="22" t="n">
        <x:v>0.0085173248860392</x:v>
      </x:c>
      <x:c r="G22" s="22" t="n">
        <x:v>-0.0039970695114595</x:v>
      </x:c>
      <x:c r="H22" s="22" t="n">
        <x:v>0.0009631499999999</x:v>
      </x:c>
      <x:c r="I22" s="22" t="n">
        <x:v>0.0207602799999999</x:v>
      </x:c>
      <x:c r="J22" s="18"/>
      <x:c r="K22" s="22" t="n">
        <x:v>0.9824024929089956</x:v>
      </x:c>
      <x:c r="L22" s="22" t="n">
        <x:v>0.977926280807044</x:v>
      </x:c>
      <x:c r="M22" s="22" t="n">
        <x:v>0.9186745699540008</x:v>
      </x:c>
      <x:c r="N22" s="22" t="n">
        <x:v>0.012956257615684</x:v>
      </x:c>
      <x:c r="O22" s="18" t="str">
        <x:v>stratified_dgp_metrics.csv</x:v>
      </x:c>
      <x:c r="P22" s="18" t="n">
        <x:v>0.0306837429999999</x:v>
      </x:c>
    </x:row>
    <x:row r="23">
      <x:c r="A23" s="18" t="str">
        <x:v>C2</x:v>
      </x:c>
      <x:c r="B23" s="18" t="str">
        <x:v>DGP &lt; 0.34</x:v>
      </x:c>
      <x:c r="C23" s="18" t="str">
        <x:v>Jones dcglare</x:v>
      </x:c>
      <x:c r="D23" s="21" t="n">
        <x:v>13264</x:v>
      </x:c>
      <x:c r="E23" s="22" t="n">
        <x:v>0.0056707722275738</x:v>
      </x:c>
      <x:c r="F23" s="22" t="n">
        <x:v>0.0101930494169659</x:v>
      </x:c>
      <x:c r="G23" s="22" t="n">
        <x:v>-0.0025321850589153</x:v>
      </x:c>
      <x:c r="H23" s="22" t="n">
        <x:v>0.0018751365509855</x:v>
      </x:c>
      <x:c r="I23" s="22" t="n">
        <x:v>0.0244803149999999</x:v>
      </x:c>
      <x:c r="J23" s="18"/>
      <x:c r="K23" s="22" t="n">
        <x:v>0.9746087904146588</x:v>
      </x:c>
      <x:c r="L23" s="22" t="n">
        <x:v>0.9588369548252677</x:v>
      </x:c>
      <x:c r="M23" s="22" t="n">
        <x:v>0.9046324336566358</x:v>
      </x:c>
      <x:c r="N23" s="22" t="n">
        <x:v>0.017348405165128</x:v>
      </x:c>
      <x:c r="O23" s="18" t="str">
        <x:v>stratified_dgp_metrics.csv</x:v>
      </x:c>
      <x:c r="P23" s="18" t="n">
        <x:v>0.0395402892011899</x:v>
      </x:c>
    </x:row>
    <x:row r="24">
      <x:c r="A24" s="18" t="str">
        <x:v>C2</x:v>
      </x:c>
      <x:c r="B24" s="18" t="str">
        <x:v>DGP &lt; 0.34</x:v>
      </x:c>
      <x:c r="C24" s="18" t="str">
        <x:v>Raytraverse Balanced</x:v>
      </x:c>
      <x:c r="D24" s="21" t="n">
        <x:v>13264</x:v>
      </x:c>
      <x:c r="E24" s="22" t="n">
        <x:v>0.0083825700660616</x:v>
      </x:c>
      <x:c r="F24" s="22" t="n">
        <x:v>0.0198239626293359</x:v>
      </x:c>
      <x:c r="G24" s="22" t="n">
        <x:v>-0.003250400302456</x:v>
      </x:c>
      <x:c r="H24" s="22" t="n">
        <x:v>0.0023890897264087</x:v>
      </x:c>
      <x:c r="I24" s="22" t="n">
        <x:v>0.0338134857326561</x:v>
      </x:c>
      <x:c r="J24" s="18"/>
      <x:c r="K24" s="22" t="n">
        <x:v>0.911275516319942</x:v>
      </x:c>
      <x:c r="L24" s="22" t="n">
        <x:v>0.8344034078177283</x:v>
      </x:c>
      <x:c r="M24" s="22" t="n">
        <x:v>0.9155964983006688</x:v>
      </x:c>
      <x:c r="N24" s="22" t="n">
        <x:v>0.0143445902703062</x:v>
      </x:c>
      <x:c r="O24" s="18" t="str">
        <x:v>stratified_dgp_metrics.csv</x:v>
      </x:c>
      <x:c r="P24" s="18" t="n">
        <x:v>0.063932066010456</x:v>
      </x:c>
    </x:row>
    <x:row r="25">
      <x:c r="A25" s="18" t="str">
        <x:v>C2</x:v>
      </x:c>
      <x:c r="B25" s="18" t="str">
        <x:v>0.34 &lt;= DGP &lt; 0.38</x:v>
      </x:c>
      <x:c r="C25" s="18" t="str">
        <x:v>EIGCM (MF1)</x:v>
      </x:c>
      <x:c r="D25" s="21" t="n">
        <x:v>836</x:v>
      </x:c>
      <x:c r="E25" s="22" t="n">
        <x:v>0.0133168110047846</x:v>
      </x:c>
      <x:c r="F25" s="22" t="n">
        <x:v>0.0152515450971557</x:v>
      </x:c>
      <x:c r="G25" s="22" t="n">
        <x:v>-0.010924535645933</x:v>
      </x:c>
      <x:c r="H25" s="22" t="n">
        <x:v>0.01271535</x:v>
      </x:c>
      <x:c r="I25" s="22" t="n">
        <x:v>0.0246233999999999</x:v>
      </x:c>
      <x:c r="J25" s="18"/>
      <x:c r="K25" s="22" t="n">
        <x:v>0.5315924696090801</x:v>
      </x:c>
      <x:c r="L25" s="22" t="n">
        <x:v>0.5381830199840751</x:v>
      </x:c>
      <x:c r="M25" s="22" t="n">
        <x:v>0.9999998094748668</x:v>
      </x:c>
      <x:c r="N25" s="22" t="n">
        <x:v>-0.0109244671834796</x:v>
      </x:c>
      <x:c r="O25" s="18" t="str">
        <x:v>stratified_dgp_metrics.csv</x:v>
      </x:c>
      <x:c r="P25" s="18" t="n">
        <x:v>0.03622788</x:v>
      </x:c>
    </x:row>
    <x:row r="26">
      <x:c r="A26" s="18" t="str">
        <x:v>C2</x:v>
      </x:c>
      <x:c r="B26" s="18" t="str">
        <x:v>0.34 &lt;= DGP &lt; 0.38</x:v>
      </x:c>
      <x:c r="C26" s="18" t="str">
        <x:v>Jones dcglare</x:v>
      </x:c>
      <x:c r="D26" s="21" t="n">
        <x:v>836</x:v>
      </x:c>
      <x:c r="E26" s="22" t="n">
        <x:v>0.0186087618421052</x:v>
      </x:c>
      <x:c r="F26" s="22" t="n">
        <x:v>0.0224548511001906</x:v>
      </x:c>
      <x:c r="G26" s="22" t="n">
        <x:v>-0.0135324649521531</x:v>
      </x:c>
      <x:c r="H26" s="22" t="n">
        <x:v>0.0166744</x:v>
      </x:c>
      <x:c r="I26" s="22" t="n">
        <x:v>0.0402894749999999</x:v>
      </x:c>
      <x:c r="J26" s="18"/>
      <x:c r="K26" s="22" t="n">
        <x:v>0.3344356410340979</x:v>
      </x:c>
      <x:c r="L26" s="22" t="n">
        <x:v>0.2747875411390795</x:v>
      </x:c>
      <x:c r="M26" s="22" t="n">
        <x:v>0.9597544512854828</x:v>
      </x:c>
      <x:c r="N26" s="22" t="n">
        <x:v>0.0009291914398577</x:v>
      </x:c>
      <x:c r="O26" s="18" t="str">
        <x:v>stratified_dgp_metrics.csv</x:v>
      </x:c>
      <x:c r="P26" s="18" t="n">
        <x:v>0.0483284599999999</x:v>
      </x:c>
    </x:row>
    <x:row r="27">
      <x:c r="A27" s="18" t="str">
        <x:v>C2</x:v>
      </x:c>
      <x:c r="B27" s="18" t="str">
        <x:v>0.34 &lt;= DGP &lt; 0.38</x:v>
      </x:c>
      <x:c r="C27" s="18" t="str">
        <x:v>Raytraverse Balanced</x:v>
      </x:c>
      <x:c r="D27" s="21" t="n">
        <x:v>836</x:v>
      </x:c>
      <x:c r="E27" s="22" t="n">
        <x:v>0.0311908512781471</x:v>
      </x:c>
      <x:c r="F27" s="22" t="n">
        <x:v>0.0474342962046556</x:v>
      </x:c>
      <x:c r="G27" s="22" t="n">
        <x:v>-0.0175341555776611</x:v>
      </x:c>
      <x:c r="H27" s="22" t="n">
        <x:v>0.0195974568198685</x:v>
      </x:c>
      <x:c r="I27" s="22" t="n">
        <x:v>0.0773710479045045</x:v>
      </x:c>
      <x:c r="J27" s="18"/>
      <x:c r="K27" s="22" t="n">
        <x:v>0.0715484011229941</x:v>
      </x:c>
      <x:c r="L27" s="22" t="n">
        <x:v>0.0287015208448241</x:v>
      </x:c>
      <x:c r="M27" s="22" t="n">
        <x:v>0.6568147030914786</x:v>
      </x:c>
      <x:c r="N27" s="22" t="n">
        <x:v>0.1057845219209772</x:v>
      </x:c>
      <x:c r="O27" s="18" t="str">
        <x:v>stratified_dgp_metrics.csv</x:v>
      </x:c>
      <x:c r="P27" s="18" t="n">
        <x:v>0.1319058858529648</x:v>
      </x:c>
    </x:row>
    <x:row r="28">
      <x:c r="A28" s="18" t="str">
        <x:v>C2</x:v>
      </x:c>
      <x:c r="B28" s="18" t="str">
        <x:v>0.38 &lt;= DGP &lt; 0.45</x:v>
      </x:c>
      <x:c r="C28" s="18" t="str">
        <x:v>EIGCM (MF1)</x:v>
      </x:c>
      <x:c r="D28" s="21" t="n">
        <x:v>1367</x:v>
      </x:c>
      <x:c r="E28" s="22" t="n">
        <x:v>0.0141751702999268</x:v>
      </x:c>
      <x:c r="F28" s="22" t="n">
        <x:v>0.0169299291430512</x:v>
      </x:c>
      <x:c r="G28" s="22" t="n">
        <x:v>-0.0098416912948061</x:v>
      </x:c>
      <x:c r="H28" s="22" t="n">
        <x:v>0.0128179</x:v>
      </x:c>
      <x:c r="I28" s="22" t="n">
        <x:v>0.03182489</x:v>
      </x:c>
      <x:c r="J28" s="18"/>
      <x:c r="K28" s="22" t="n">
        <x:v>0.736522102514906</x:v>
      </x:c>
      <x:c r="L28" s="22" t="n">
        <x:v>0.6861211677658818</x:v>
      </x:c>
      <x:c r="M28" s="22" t="n">
        <x:v>1.0331294443282912</x:v>
      </x:c>
      <x:c r="N28" s="22" t="n">
        <x:v>-0.02359923504693</x:v>
      </x:c>
      <x:c r="O28" s="18" t="str">
        <x:v>stratified_dgp_metrics.csv</x:v>
      </x:c>
      <x:c r="P28" s="18" t="n">
        <x:v>0.0455377939999999</x:v>
      </x:c>
    </x:row>
    <x:row r="29">
      <x:c r="A29" s="18" t="str">
        <x:v>C2</x:v>
      </x:c>
      <x:c r="B29" s="18" t="str">
        <x:v>0.38 &lt;= DGP &lt; 0.45</x:v>
      </x:c>
      <x:c r="C29" s="18" t="str">
        <x:v>Jones dcglare</x:v>
      </x:c>
      <x:c r="D29" s="21" t="n">
        <x:v>1367</x:v>
      </x:c>
      <x:c r="E29" s="22" t="n">
        <x:v>0.0182341296269202</x:v>
      </x:c>
      <x:c r="F29" s="22" t="n">
        <x:v>0.0221698184685881</x:v>
      </x:c>
      <x:c r="G29" s="22" t="n">
        <x:v>-0.0110351221653255</x:v>
      </x:c>
      <x:c r="H29" s="22" t="n">
        <x:v>0.0161728999999999</x:v>
      </x:c>
      <x:c r="I29" s="22" t="n">
        <x:v>0.03738619</x:v>
      </x:c>
      <x:c r="J29" s="18"/>
      <x:c r="K29" s="22" t="n">
        <x:v>0.6300358692251058</x:v>
      </x:c>
      <x:c r="L29" s="22" t="n">
        <x:v>0.551523153319248</x:v>
      </x:c>
      <x:c r="M29" s="22" t="n">
        <x:v>1.07927667873744</x:v>
      </x:c>
      <x:c r="N29" s="22" t="n">
        <x:v>-0.0439560599705525</x:v>
      </x:c>
      <x:c r="O29" s="18" t="str">
        <x:v>stratified_dgp_metrics.csv</x:v>
      </x:c>
      <x:c r="P29" s="18" t="n">
        <x:v>0.0568230559999998</x:v>
      </x:c>
    </x:row>
    <x:row r="30">
      <x:c r="A30" s="18" t="str">
        <x:v>C2</x:v>
      </x:c>
      <x:c r="B30" s="18" t="str">
        <x:v>0.38 &lt;= DGP &lt; 0.45</x:v>
      </x:c>
      <x:c r="C30" s="18" t="str">
        <x:v>Raytraverse Balanced</x:v>
      </x:c>
      <x:c r="D30" s="21" t="n">
        <x:v>1367</x:v>
      </x:c>
      <x:c r="E30" s="22" t="n">
        <x:v>0.044219160777395</x:v>
      </x:c>
      <x:c r="F30" s="22" t="n">
        <x:v>0.069495066902343</x:v>
      </x:c>
      <x:c r="G30" s="22" t="n">
        <x:v>-0.0238353959675324</x:v>
      </x:c>
      <x:c r="H30" s="22" t="n">
        <x:v>0.0337715350805257</x:v>
      </x:c>
      <x:c r="I30" s="22" t="n">
        <x:v>0.1132881935063583</x:v>
      </x:c>
      <x:c r="J30" s="18"/>
      <x:c r="K30" s="22" t="n">
        <x:v>0.1064891634122471</x:v>
      </x:c>
      <x:c r="L30" s="22" t="n">
        <x:v>0.0480077875817218</x:v>
      </x:c>
      <x:c r="M30" s="22" t="n">
        <x:v>0.7421922396213725</x:v>
      </x:c>
      <x:c r="N30" s="22" t="n">
        <x:v>0.083223494242021</x:v>
      </x:c>
      <x:c r="O30" s="18" t="str">
        <x:v>stratified_dgp_metrics.csv</x:v>
      </x:c>
      <x:c r="P30" s="18" t="n">
        <x:v>0.2232461534954267</x:v>
      </x:c>
    </x:row>
    <x:row r="31">
      <x:c r="A31" s="18" t="str">
        <x:v>C2</x:v>
      </x:c>
      <x:c r="B31" s="18" t="str">
        <x:v>DGP &gt;= 0.45</x:v>
      </x:c>
      <x:c r="C31" s="18" t="str">
        <x:v>EIGCM (MF1)</x:v>
      </x:c>
      <x:c r="D31" s="21" t="n">
        <x:v>3253</x:v>
      </x:c>
      <x:c r="E31" s="22" t="n">
        <x:v>0.0148071196126652</x:v>
      </x:c>
      <x:c r="F31" s="22" t="n">
        <x:v>0.0285127082844157</x:v>
      </x:c>
      <x:c r="G31" s="22" t="n">
        <x:v>-0.0018173968951736</x:v>
      </x:c>
      <x:c r="H31" s="22" t="n">
        <x:v>0.0095787999999999</x:v>
      </x:c>
      <x:c r="I31" s="22" t="n">
        <x:v>0.0494259199999999</x:v>
      </x:c>
      <x:c r="J31" s="18"/>
      <x:c r="K31" s="22" t="n">
        <x:v>0.9899136985992264</x:v>
      </x:c>
      <x:c r="L31" s="22" t="n">
        <x:v>0.980793276863086</x:v>
      </x:c>
      <x:c r="M31" s="22" t="n">
        <x:v>1.0187541975924843</x:v>
      </x:c>
      <x:c r="N31" s="22" t="n">
        <x:v>-0.0147408403329697</x:v>
      </x:c>
      <x:c r="O31" s="18" t="str">
        <x:v>stratified_dgp_metrics.csv</x:v>
      </x:c>
      <x:c r="P31" s="18" t="n">
        <x:v>0.0777388959999999</x:v>
      </x:c>
    </x:row>
    <x:row r="32">
      <x:c r="A32" s="18" t="str">
        <x:v>C2</x:v>
      </x:c>
      <x:c r="B32" s="18" t="str">
        <x:v>DGP &gt;= 0.45</x:v>
      </x:c>
      <x:c r="C32" s="18" t="str">
        <x:v>Jones dcglare</x:v>
      </x:c>
      <x:c r="D32" s="21" t="n">
        <x:v>3253</x:v>
      </x:c>
      <x:c r="E32" s="22" t="n">
        <x:v>0.0189865127574546</x:v>
      </x:c>
      <x:c r="F32" s="22" t="n">
        <x:v>0.0342613766434167</x:v>
      </x:c>
      <x:c r="G32" s="22" t="n">
        <x:v>-0.0049900992929603</x:v>
      </x:c>
      <x:c r="H32" s="22" t="n">
        <x:v>0.0119337999999999</x:v>
      </x:c>
      <x:c r="I32" s="22" t="n">
        <x:v>0.0636535999999999</x:v>
      </x:c>
      <x:c r="J32" s="18"/>
      <x:c r="K32" s="22" t="n">
        <x:v>0.9853958494522598</x:v>
      </x:c>
      <x:c r="L32" s="22" t="n">
        <x:v>0.972228859592363</x:v>
      </x:c>
      <x:c r="M32" s="22" t="n">
        <x:v>1.011279312210563</x:v>
      </x:c>
      <x:c r="N32" s="22" t="n">
        <x:v>-0.0127626287574503</x:v>
      </x:c>
      <x:c r="O32" s="18" t="str">
        <x:v>stratified_dgp_metrics.csv</x:v>
      </x:c>
      <x:c r="P32" s="18" t="n">
        <x:v>0.1048161079999999</x:v>
      </x:c>
    </x:row>
    <x:row r="33">
      <x:c r="A33" s="18" t="str">
        <x:v>C2</x:v>
      </x:c>
      <x:c r="B33" s="18" t="str">
        <x:v>DGP &gt;= 0.45</x:v>
      </x:c>
      <x:c r="C33" s="18" t="str">
        <x:v>Raytraverse Balanced</x:v>
      </x:c>
      <x:c r="D33" s="21" t="n">
        <x:v>3253</x:v>
      </x:c>
      <x:c r="E33" s="22" t="n">
        <x:v>0.0788670230148076</x:v>
      </x:c>
      <x:c r="F33" s="22" t="n">
        <x:v>0.1239073884035192</x:v>
      </x:c>
      <x:c r="G33" s="22" t="n">
        <x:v>-0.0461989271541798</x:v>
      </x:c>
      <x:c r="H33" s="22" t="n">
        <x:v>0.0522185123410012</x:v>
      </x:c>
      <x:c r="I33" s="22" t="n">
        <x:v>0.2776505016284113</x:v>
      </x:c>
      <x:c r="J33" s="18"/>
      <x:c r="K33" s="22" t="n">
        <x:v>0.8261250940598311</x:v>
      </x:c>
      <x:c r="L33" s="22" t="n">
        <x:v>0.7227028782570624</x:v>
      </x:c>
      <x:c r="M33" s="22" t="n">
        <x:v>0.9313874683567116</x:v>
      </x:c>
      <x:c r="N33" s="22" t="n">
        <x:v>0.0010816972203564</x:v>
      </x:c>
      <x:c r="O33" s="18" t="str">
        <x:v>stratified_dgp_metrics.csv</x:v>
      </x:c>
      <x:c r="P33" s="18" t="n">
        <x:v>0.4514172053395757</x:v>
      </x:c>
    </x:row>
    <x:row r="34">
      <x:c r="A34" s="18" t="str">
        <x:v>C3</x:v>
      </x:c>
      <x:c r="B34" s="18" t="str">
        <x:v>DGP &lt; 0.34</x:v>
      </x:c>
      <x:c r="C34" s="18" t="str">
        <x:v>EIGCM (MF1)</x:v>
      </x:c>
      <x:c r="D34" s="21" t="n">
        <x:v>17958</x:v>
      </x:c>
      <x:c r="E34" s="22" t="n">
        <x:v>0.0004895945818019</x:v>
      </x:c>
      <x:c r="F34" s="22" t="n">
        <x:v>0.0041838342648296</x:v>
      </x:c>
      <x:c r="G34" s="22" t="n">
        <x:v>-0.0001221461131529</x:v>
      </x:c>
      <x:c r="H34" s="22" t="n">
        <x:v>0.000041200000000019</x:v>
      </x:c>
      <x:c r="I34" s="22" t="n">
        <x:v>0.001047505</x:v>
      </x:c>
      <x:c r="J34" s="18" t="n">
        <x:v>0.1716919</x:v>
      </x:c>
      <x:c r="K34" s="22" t="n">
        <x:v>0.862284891254355</x:v>
      </x:c>
      <x:c r="L34" s="22" t="n">
        <x:v>0.7438344685470393</x:v>
      </x:c>
      <x:c r="M34" s="22" t="n">
        <x:v>0.873696392688669</x:v>
      </x:c>
      <x:c r="N34" s="22" t="n">
        <x:v>0.0201636342456449</x:v>
      </x:c>
      <x:c r="O34" s="18" t="str">
        <x:v>stratified_dgp_metrics.csv</x:v>
      </x:c>
      <x:c r="P34" s="18"/>
    </x:row>
    <x:row r="35">
      <x:c r="A35" s="18" t="str">
        <x:v>C3</x:v>
      </x:c>
      <x:c r="B35" s="18" t="str">
        <x:v>DGP &lt; 0.34</x:v>
      </x:c>
      <x:c r="C35" s="18" t="str">
        <x:v>Jones dcglare</x:v>
      </x:c>
      <x:c r="D35" s="21" t="n">
        <x:v>17958</x:v>
      </x:c>
      <x:c r="E35" s="22" t="n">
        <x:v>0.0019925880225392</x:v>
      </x:c>
      <x:c r="F35" s="22" t="n">
        <x:v>0.0091177768408888</x:v>
      </x:c>
      <x:c r="G35" s="22" t="n">
        <x:v>0.0008242526406374</x:v>
      </x:c>
      <x:c r="H35" s="22" t="n">
        <x:v>0.0010311920503116</x:v>
      </x:c>
      <x:c r="I35" s="22" t="n">
        <x:v>0.0021018153516013</x:v>
      </x:c>
      <x:c r="J35" s="18" t="n">
        <x:v>0.178314391790548</x:v>
      </x:c>
      <x:c r="K35" s="22" t="n">
        <x:v>0.1098350529354318</x:v>
      </x:c>
      <x:c r="L35" s="22" t="n">
        <x:v>0.0139845027567947</x:v>
      </x:c>
      <x:c r="M35" s="22" t="n">
        <x:v>0.0817693984519194</x:v>
      </x:c>
      <x:c r="N35" s="22" t="n">
        <x:v>0.1483024181360746</x:v>
      </x:c>
      <x:c r="O35" s="18" t="str">
        <x:v>stratified_dgp_metrics.csv</x:v>
      </x:c>
      <x:c r="P35" s="18"/>
    </x:row>
    <x:row r="36">
      <x:c r="A36" s="18" t="str">
        <x:v>C3</x:v>
      </x:c>
      <x:c r="B36" s="18" t="str">
        <x:v>DGP &lt; 0.34</x:v>
      </x:c>
      <x:c r="C36" s="18" t="str">
        <x:v>Raytraverse Balanced</x:v>
      </x:c>
      <x:c r="D36" s="21" t="n">
        <x:v>17958</x:v>
      </x:c>
      <x:c r="E36" s="22" t="n">
        <x:v>0.0039506179880668</x:v>
      </x:c>
      <x:c r="F36" s="22" t="n">
        <x:v>0.0283387994984231</x:v>
      </x:c>
      <x:c r="G36" s="22" t="n">
        <x:v>0.0028649099757372</x:v>
      </x:c>
      <x:c r="H36" s="22" t="n">
        <x:v>0.0010111979871805</x:v>
      </x:c>
      <x:c r="I36" s="22" t="n">
        <x:v>0.0018669356409653</x:v>
      </x:c>
      <x:c r="J36" s="18" t="n">
        <x:v>0.3839342431737794</x:v>
      </x:c>
      <x:c r="K36" s="22" t="n">
        <x:v>0.040578348221057</x:v>
      </x:c>
      <x:c r="L36" s="22" t="n">
        <x:v>0.0060021854358521</x:v>
      </x:c>
      <x:c r="M36" s="22" t="n">
        <x:v>0.2707635235897705</x:v>
      </x:c>
      <x:c r="N36" s="22" t="n">
        <x:v>0.119988492627002</x:v>
      </x:c>
      <x:c r="O36" s="18" t="str">
        <x:v>stratified_dgp_metrics.csv</x:v>
      </x:c>
      <x:c r="P36" s="18"/>
    </x:row>
    <x:row r="37">
      <x:c r="A37" s="18" t="str">
        <x:v>C3</x:v>
      </x:c>
      <x:c r="B37" s="18" t="str">
        <x:v>DGP &lt; 0.34</x:v>
      </x:c>
      <x:c r="C37" s="18" t="str">
        <x:v>Raytraverse High</x:v>
      </x:c>
      <x:c r="D37" s="21" t="n">
        <x:v>17958</x:v>
      </x:c>
      <x:c r="E37" s="22" t="n">
        <x:v>0.0039841840491977</x:v>
      </x:c>
      <x:c r="F37" s="22" t="n">
        <x:v>0.028276963922298</x:v>
      </x:c>
      <x:c r="G37" s="22" t="n">
        <x:v>0.0028994018738063</x:v>
      </x:c>
      <x:c r="H37" s="22" t="n">
        <x:v>0.0010090013053679</x:v>
      </x:c>
      <x:c r="I37" s="22" t="n">
        <x:v>0.0018738604362603</x:v>
      </x:c>
      <x:c r="J37" s="18" t="n">
        <x:v>0.372847163625275</x:v>
      </x:c>
      <x:c r="K37" s="22" t="n">
        <x:v>0.0411171313727121</x:v>
      </x:c>
      <x:c r="L37" s="22" t="n">
        <x:v>0.0061429855820472</x:v>
      </x:c>
      <x:c r="M37" s="22" t="n">
        <x:v>0.2733160993509347</x:v>
      </x:c>
      <x:c r="N37" s="22" t="n">
        <x:v>0.1196130121391476</x:v>
      </x:c>
      <x:c r="O37" s="18" t="str">
        <x:v>stratified_dgp_metrics.csv</x:v>
      </x:c>
      <x:c r="P37" s="18"/>
    </x:row>
    <x:row r="38">
      <x:c r="A38" s="18" t="str">
        <x:v>C3</x:v>
      </x:c>
      <x:c r="B38" s="18" t="str">
        <x:v>0.34 &lt;= DGP &lt; 0.38</x:v>
      </x:c>
      <x:c r="C38" s="18" t="str">
        <x:v>EIGCM (MF1)</x:v>
      </x:c>
      <x:c r="D38" s="21" t="n">
        <x:v>24</x:v>
      </x:c>
      <x:c r="E38" s="22" t="n">
        <x:v>0.0088988666666666</x:v>
      </x:c>
      <x:c r="F38" s="22" t="n">
        <x:v>0.0111357922987095</x:v>
      </x:c>
      <x:c r="G38" s="22" t="n">
        <x:v>0.0024288499999999</x:v>
      </x:c>
      <x:c r="H38" s="22" t="n">
        <x:v>0.0079028</x:v>
      </x:c>
      <x:c r="I38" s="22" t="n">
        <x:v>0.0200771749999999</x:v>
      </x:c>
      <x:c r="J38" s="18" t="n">
        <x:v>0.0251070999999999</x:v>
      </x:c>
      <x:c r="K38" s="22" t="n">
        <x:v>0.6694432093807835</x:v>
      </x:c>
      <x:c r="L38" s="22" t="n">
        <x:v>0.4844155972360343</x:v>
      </x:c>
      <x:c r="M38" s="22" t="n">
        <x:v>0.8634150796696771</x:v>
      </x:c>
      <x:c r="N38" s="22" t="n">
        <x:v>0.0517323184463976</x:v>
      </x:c>
      <x:c r="O38" s="18" t="str">
        <x:v>stratified_dgp_metrics.csv</x:v>
      </x:c>
      <x:c r="P38" s="18"/>
    </x:row>
    <x:row r="39">
      <x:c r="A39" s="18" t="str">
        <x:v>C3</x:v>
      </x:c>
      <x:c r="B39" s="18" t="str">
        <x:v>0.34 &lt;= DGP &lt; 0.38</x:v>
      </x:c>
      <x:c r="C39" s="18" t="str">
        <x:v>Jones dcglare</x:v>
      </x:c>
      <x:c r="D39" s="21" t="n">
        <x:v>24</x:v>
      </x:c>
      <x:c r="E39" s="22" t="n">
        <x:v>0.1972966300696909</x:v>
      </x:c>
      <x:c r="F39" s="22" t="n">
        <x:v>0.1977739785481769</x:v>
      </x:c>
      <x:c r="G39" s="22" t="n">
        <x:v>-0.1972966300696909</x:v>
      </x:c>
      <x:c r="H39" s="22" t="n">
        <x:v>0.2004205535565019</x:v>
      </x:c>
      <x:c r="I39" s="22" t="n">
        <x:v>0.2143218746845837</x:v>
      </x:c>
      <x:c r="J39" s="18" t="n">
        <x:v>0.2163470661903208</x:v>
      </x:c>
      <x:c r="K39" s="22" t="n">
        <x:v>0.0015460897324145</x:v>
      </x:c>
      <x:c r="L39" s="22" t="n">
        <x:v>0.0607990397297657</x:v>
      </x:c>
      <x:c r="M39" s="22" t="n">
        <x:v>0.2082354675190153</x:v>
      </x:c>
      <x:c r="N39" s="22" t="n">
        <x:v>0.0885089885135676</x:v>
      </x:c>
      <x:c r="O39" s="18" t="str">
        <x:v>stratified_dgp_metrics.csv</x:v>
      </x:c>
      <x:c r="P39" s="18"/>
    </x:row>
    <x:row r="40">
      <x:c r="A40" s="18" t="str">
        <x:v>C3</x:v>
      </x:c>
      <x:c r="B40" s="18" t="str">
        <x:v>0.34 &lt;= DGP &lt; 0.38</x:v>
      </x:c>
      <x:c r="C40" s="18" t="str">
        <x:v>Raytraverse Balanced</x:v>
      </x:c>
      <x:c r="D40" s="21" t="n">
        <x:v>24</x:v>
      </x:c>
      <x:c r="E40" s="22" t="n">
        <x:v>0.1690813953196549</x:v>
      </x:c>
      <x:c r="F40" s="22" t="n">
        <x:v>0.1833820958469517</x:v>
      </x:c>
      <x:c r="G40" s="22" t="n">
        <x:v>-0.1656322888317537</x:v>
      </x:c>
      <x:c r="H40" s="22" t="n">
        <x:v>0.1988115127561808</x:v>
      </x:c>
      <x:c r="I40" s="22" t="n">
        <x:v>0.2152759920688899</x:v>
      </x:c>
      <x:c r="J40" s="18" t="n">
        <x:v>0.2167876899546688</x:v>
      </x:c>
      <x:c r="K40" s="22" t="n">
        <x:v>0.0043102341764943</x:v>
      </x:c>
      <x:c r="L40" s="22" t="n">
        <x:v>0.0058804970208485</x:v>
      </x:c>
      <x:c r="M40" s="22" t="n">
        <x:v>0.5004957739948005</x:v>
      </x:c>
      <x:c r="N40" s="22" t="n">
        <x:v>0.0146752501420211</x:v>
      </x:c>
      <x:c r="O40" s="18" t="str">
        <x:v>stratified_dgp_metrics.csv</x:v>
      </x:c>
      <x:c r="P40" s="18"/>
    </x:row>
    <x:row r="41">
      <x:c r="A41" s="18" t="str">
        <x:v>C3</x:v>
      </x:c>
      <x:c r="B41" s="18" t="str">
        <x:v>0.34 &lt;= DGP &lt; 0.38</x:v>
      </x:c>
      <x:c r="C41" s="18" t="str">
        <x:v>Raytraverse High</x:v>
      </x:c>
      <x:c r="D41" s="21" t="n">
        <x:v>24</x:v>
      </x:c>
      <x:c r="E41" s="22" t="n">
        <x:v>0.1700168499247649</x:v>
      </x:c>
      <x:c r="F41" s="22" t="n">
        <x:v>0.1836689436951924</x:v>
      </x:c>
      <x:c r="G41" s="22" t="n">
        <x:v>-0.164661877506844</x:v>
      </x:c>
      <x:c r="H41" s="22" t="n">
        <x:v>0.1988033686523997</x:v>
      </x:c>
      <x:c r="I41" s="22" t="n">
        <x:v>0.2153443253893625</x:v>
      </x:c>
      <x:c r="J41" s="18" t="n">
        <x:v>0.2166913480525169</x:v>
      </x:c>
      <x:c r="K41" s="22" t="n">
        <x:v>0.0050402226125074</x:v>
      </x:c>
      <x:c r="L41" s="22" t="n">
        <x:v>0.0075533104549946</x:v>
      </x:c>
      <x:c r="M41" s="22" t="n">
        <x:v>0.5875236848263672</x:v>
      </x:c>
      <x:c r="N41" s="22" t="n">
        <x:v>-0.0157690645896722</x:v>
      </x:c>
      <x:c r="O41" s="18" t="str">
        <x:v>stratified_dgp_metrics.csv</x:v>
      </x:c>
      <x:c r="P41" s="18"/>
    </x:row>
    <x:row r="42">
      <x:c r="A42" s="18" t="str">
        <x:v>C3</x:v>
      </x:c>
      <x:c r="B42" s="18" t="str">
        <x:v>0.38 &lt;= DGP &lt; 0.45</x:v>
      </x:c>
      <x:c r="C42" s="18" t="str">
        <x:v>EIGCM (MF1)</x:v>
      </x:c>
      <x:c r="D42" s="21" t="n">
        <x:v>227</x:v>
      </x:c>
      <x:c r="E42" s="22" t="n">
        <x:v>0.0143363753303964</x:v>
      </x:c>
      <x:c r="F42" s="22" t="n">
        <x:v>0.0222106561331299</x:v>
      </x:c>
      <x:c r="G42" s="22" t="n">
        <x:v>0.0108169929515418</x:v>
      </x:c>
      <x:c r="H42" s="22" t="n">
        <x:v>0.0050761999999999</x:v>
      </x:c>
      <x:c r="I42" s="22" t="n">
        <x:v>0.04700685</x:v>
      </x:c>
      <x:c r="J42" s="18" t="n">
        <x:v>0.0664227</x:v>
      </x:c>
      <x:c r="K42" s="22" t="n">
        <x:v>0.4230213018625103</x:v>
      </x:c>
      <x:c r="L42" s="22" t="n">
        <x:v>0.278748514524794</x:v>
      </x:c>
      <x:c r="M42" s="22" t="n">
        <x:v>0.7803093928092654</x:v>
      </x:c>
      <x:c r="N42" s="22" t="n">
        <x:v>0.1044084879417024</x:v>
      </x:c>
      <x:c r="O42" s="18" t="str">
        <x:v>stratified_dgp_metrics.csv</x:v>
      </x:c>
      <x:c r="P42" s="18"/>
    </x:row>
    <x:row r="43">
      <x:c r="A43" s="18" t="str">
        <x:v>C3</x:v>
      </x:c>
      <x:c r="B43" s="18" t="str">
        <x:v>0.38 &lt;= DGP &lt; 0.45</x:v>
      </x:c>
      <x:c r="C43" s="18" t="str">
        <x:v>Jones dcglare</x:v>
      </x:c>
      <x:c r="D43" s="21" t="n">
        <x:v>227</x:v>
      </x:c>
      <x:c r="E43" s="22" t="n">
        <x:v>0.2369840902492909</x:v>
      </x:c>
      <x:c r="F43" s="22" t="n">
        <x:v>0.2382379197155864</x:v>
      </x:c>
      <x:c r="G43" s="22" t="n">
        <x:v>-0.2369840902492909</x:v>
      </x:c>
      <x:c r="H43" s="22" t="n">
        <x:v>0.2370164974176374</x:v>
      </x:c>
      <x:c r="I43" s="22" t="n">
        <x:v>0.2715483651791345</x:v>
      </x:c>
      <x:c r="J43" s="18" t="n">
        <x:v>0.2851545348221013</x:v>
      </x:c>
      <x:c r="K43" s="22" t="n">
        <x:v>0.0026150117857693</x:v>
      </x:c>
      <x:c r="L43" s="22" t="n">
        <x:v>0.0465737970884939</x:v>
      </x:c>
      <x:c r="M43" s="22" t="n">
        <x:v>0.3210511275268174</x:v>
      </x:c>
      <x:c r="N43" s="22" t="n">
        <x:v>0.052258316648336</x:v>
      </x:c>
      <x:c r="O43" s="18" t="str">
        <x:v>stratified_dgp_metrics.csv</x:v>
      </x:c>
      <x:c r="P43" s="18"/>
    </x:row>
    <x:row r="44">
      <x:c r="A44" s="18" t="str">
        <x:v>C3</x:v>
      </x:c>
      <x:c r="B44" s="18" t="str">
        <x:v>0.38 &lt;= DGP &lt; 0.45</x:v>
      </x:c>
      <x:c r="C44" s="18" t="str">
        <x:v>Raytraverse Balanced</x:v>
      </x:c>
      <x:c r="D44" s="21" t="n">
        <x:v>227</x:v>
      </x:c>
      <x:c r="E44" s="22" t="n">
        <x:v>0.0535453150012786</x:v>
      </x:c>
      <x:c r="F44" s="22" t="n">
        <x:v>0.1075649952775631</x:v>
      </x:c>
      <x:c r="G44" s="22" t="n">
        <x:v>-0.0365719225303798</x:v>
      </x:c>
      <x:c r="H44" s="22" t="n">
        <x:v>0.0086771772580928</x:v>
      </x:c>
      <x:c r="I44" s="22" t="n">
        <x:v>0.2699938808275439</x:v>
      </x:c>
      <x:c r="J44" s="18" t="n">
        <x:v>0.2845039556705602</x:v>
      </x:c>
      <x:c r="K44" s="22" t="n">
        <x:v>0.0522021599230045</x:v>
      </x:c>
      <x:c r="L44" s="22" t="n">
        <x:v>0.041178620362974</x:v>
      </x:c>
      <x:c r="M44" s="22" t="n">
        <x:v>1.3748530548800015</x:v>
      </x:c>
      <x:c r="N44" s="22" t="n">
        <x:v>-0.1962649483564189</x:v>
      </x:c>
      <x:c r="O44" s="18" t="str">
        <x:v>stratified_dgp_metrics.csv</x:v>
      </x:c>
      <x:c r="P44" s="18"/>
    </x:row>
    <x:row r="45">
      <x:c r="A45" s="18" t="str">
        <x:v>C3</x:v>
      </x:c>
      <x:c r="B45" s="18" t="str">
        <x:v>0.38 &lt;= DGP &lt; 0.45</x:v>
      </x:c>
      <x:c r="C45" s="18" t="str">
        <x:v>Raytraverse High</x:v>
      </x:c>
      <x:c r="D45" s="21" t="n">
        <x:v>227</x:v>
      </x:c>
      <x:c r="E45" s="22" t="n">
        <x:v>0.0508706850962639</x:v>
      </x:c>
      <x:c r="F45" s="22" t="n">
        <x:v>0.1037912133081987</x:v>
      </x:c>
      <x:c r="G45" s="22" t="n">
        <x:v>-0.032628752618143</x:v>
      </x:c>
      <x:c r="H45" s="22" t="n">
        <x:v>0.0091242023447262</x:v>
      </x:c>
      <x:c r="I45" s="22" t="n">
        <x:v>0.2695319242187239</x:v>
      </x:c>
      <x:c r="J45" s="18" t="n">
        <x:v>0.2841668756079585</x:v>
      </x:c>
      <x:c r="K45" s="22" t="n">
        <x:v>0.0462518302132441</x:v>
      </x:c>
      <x:c r="L45" s="22" t="n">
        <x:v>0.0294444443096876</x:v>
      </x:c>
      <x:c r="M45" s="22" t="n">
        <x:v>1.1270884068742804</x:v>
      </x:c>
      <x:c r="N45" s="22" t="n">
        <x:v>-0.0867703208325506</x:v>
      </x:c>
      <x:c r="O45" s="18" t="str">
        <x:v>stratified_dgp_metrics.csv</x:v>
      </x:c>
      <x:c r="P45" s="18"/>
    </x:row>
    <x:row r="46">
      <x:c r="A46" s="18" t="str">
        <x:v>C3</x:v>
      </x:c>
      <x:c r="B46" s="18" t="str">
        <x:v>DGP &gt;= 0.45</x:v>
      </x:c>
      <x:c r="C46" s="18" t="str">
        <x:v>EIGCM (MF1)</x:v>
      </x:c>
      <x:c r="D46" s="21" t="n">
        <x:v>511</x:v>
      </x:c>
      <x:c r="E46" s="22" t="n">
        <x:v>0.0053566739726027</x:v>
      </x:c>
      <x:c r="F46" s="22" t="n">
        <x:v>0.0143613573879171</x:v>
      </x:c>
      <x:c r="G46" s="22" t="n">
        <x:v>-0.0010056336594911</x:v>
      </x:c>
      <x:c r="H46" s="22" t="n">
        <x:v>0.0014763999999999</x:v>
      </x:c>
      <x:c r="I46" s="22" t="n">
        <x:v>0.0294268499999999</x:v>
      </x:c>
      <x:c r="J46" s="18" t="n">
        <x:v>0.1292597999999999</x:v>
      </x:c>
      <x:c r="K46" s="22" t="n">
        <x:v>0.784461810540882</x:v>
      </x:c>
      <x:c r="L46" s="22" t="n">
        <x:v>0.6224799947635118</x:v>
      </x:c>
      <x:c r="M46" s="22" t="n">
        <x:v>0.8691677369313795</x:v>
      </x:c>
      <x:c r="N46" s="22" t="n">
        <x:v>0.0626500911439425</x:v>
      </x:c>
      <x:c r="O46" s="18" t="str">
        <x:v>stratified_dgp_metrics.csv</x:v>
      </x:c>
      <x:c r="P46" s="18"/>
    </x:row>
    <x:row r="47">
      <x:c r="A47" s="18" t="str">
        <x:v>C3</x:v>
      </x:c>
      <x:c r="B47" s="18" t="str">
        <x:v>DGP &gt;= 0.45</x:v>
      </x:c>
      <x:c r="C47" s="18" t="str">
        <x:v>Jones dcglare</x:v>
      </x:c>
      <x:c r="D47" s="21" t="n">
        <x:v>511</x:v>
      </x:c>
      <x:c r="E47" s="22" t="n">
        <x:v>0.2758756303592026</x:v>
      </x:c>
      <x:c r="F47" s="22" t="n">
        <x:v>0.2791526351819121</x:v>
      </x:c>
      <x:c r="G47" s="22" t="n">
        <x:v>-0.2758756303592026</x:v>
      </x:c>
      <x:c r="H47" s="22" t="n">
        <x:v>0.2676850501848329</x:v>
      </x:c>
      <x:c r="I47" s="22" t="n">
        <x:v>0.3477261952321779</x:v>
      </x:c>
      <x:c r="J47" s="18" t="n">
        <x:v>0.3687511528921519</x:v>
      </x:c>
      <x:c r="K47" s="22" t="n">
        <x:v>0.0041130976757067</x:v>
      </x:c>
      <x:c r="L47" s="22" t="n">
        <x:v>0.0350926412227667</x:v>
      </x:c>
      <x:c r="M47" s="22" t="n">
        <x:v>0.3726554765210022</x:v>
      </x:c>
      <x:c r="N47" s="22" t="n">
        <x:v>0.0293554296781469</x:v>
      </x:c>
      <x:c r="O47" s="18" t="str">
        <x:v>stratified_dgp_metrics.csv</x:v>
      </x:c>
      <x:c r="P47" s="18"/>
    </x:row>
    <x:row r="48">
      <x:c r="A48" s="18" t="str">
        <x:v>C3</x:v>
      </x:c>
      <x:c r="B48" s="18" t="str">
        <x:v>DGP &gt;= 0.45</x:v>
      </x:c>
      <x:c r="C48" s="18" t="str">
        <x:v>Raytraverse Balanced</x:v>
      </x:c>
      <x:c r="D48" s="21" t="n">
        <x:v>511</x:v>
      </x:c>
      <x:c r="E48" s="22" t="n">
        <x:v>0.0778570996769825</x:v>
      </x:c>
      <x:c r="F48" s="22" t="n">
        <x:v>0.1565202963370351</x:v>
      </x:c>
      <x:c r="G48" s="22" t="n">
        <x:v>-0.0722339467998491</x:v>
      </x:c>
      <x:c r="H48" s="22" t="n">
        <x:v>0.0030973229514938</x:v>
      </x:c>
      <x:c r="I48" s="22" t="n">
        <x:v>0.3441417008103137</x:v>
      </x:c>
      <x:c r="J48" s="18" t="n">
        <x:v>0.3801175641620394</x:v>
      </x:c>
      <x:c r="K48" s="22" t="n">
        <x:v>0.0036876447070113</x:v>
      </x:c>
      <x:c r="L48" s="22" t="n">
        <x:v>0.0002513340771842</x:v>
      </x:c>
      <x:c r="M48" s="22" t="n">
        <x:v>0.104992897259773</x:v>
      </x:c>
      <x:c r="N48" s="22" t="n">
        <x:v>0.3632268829136058</x:v>
      </x:c>
      <x:c r="O48" s="18" t="str">
        <x:v>stratified_dgp_metrics.csv</x:v>
      </x:c>
      <x:c r="P48" s="18"/>
    </x:row>
    <x:row r="49">
      <x:c r="A49" s="18" t="str">
        <x:v>C3</x:v>
      </x:c>
      <x:c r="B49" s="18" t="str">
        <x:v>DGP &gt;= 0.45</x:v>
      </x:c>
      <x:c r="C49" s="18" t="str">
        <x:v>Raytraverse High</x:v>
      </x:c>
      <x:c r="D49" s="21" t="n">
        <x:v>511</x:v>
      </x:c>
      <x:c r="E49" s="22" t="n">
        <x:v>0.0718446941572542</x:v>
      </x:c>
      <x:c r="F49" s="22" t="n">
        <x:v>0.150410239408934</x:v>
      </x:c>
      <x:c r="G49" s="22" t="n">
        <x:v>-0.0670229268792502</x:v>
      </x:c>
      <x:c r="H49" s="22" t="n">
        <x:v>0.0028039513141355</x:v>
      </x:c>
      <x:c r="I49" s="22" t="n">
        <x:v>0.3437051517266992</x:v>
      </x:c>
      <x:c r="J49" s="18" t="n">
        <x:v>0.3800455864616382</x:v>
      </x:c>
      <x:c r="K49" s="22" t="n">
        <x:v>0.0052588510957706</x:v>
      </x:c>
      <x:c r="L49" s="22" t="n">
        <x:v>0.0004647551547189</x:v>
      </x:c>
      <x:c r="M49" s="22" t="n">
        <x:v>0.1384843309752548</x:v>
      </x:c>
      <x:c r="N49" s="22" t="n">
        <x:v>0.3521428282259868</x:v>
      </x:c>
      <x:c r="O49" s="18" t="str">
        <x:v>stratified_dgp_metrics.csv</x:v>
      </x:c>
      <x:c r="P49" s="18"/>
    </x:row>
    <x:row r="50">
      <x:c r="A50" s="18" t="str">
        <x:v>C4</x:v>
      </x:c>
      <x:c r="B50" s="18" t="str">
        <x:v>DGP &lt; 0.34</x:v>
      </x:c>
      <x:c r="C50" s="18" t="str">
        <x:v>EIGCM (MF1)</x:v>
      </x:c>
      <x:c r="D50" s="21" t="n">
        <x:v>15621</x:v>
      </x:c>
      <x:c r="E50" s="22" t="n">
        <x:v>0.0038437442865373</x:v>
      </x:c>
      <x:c r="F50" s="22" t="n">
        <x:v>0.0084827870154757</x:v>
      </x:c>
      <x:c r="G50" s="22" t="n">
        <x:v>-0.0009282047052045</x:v>
      </x:c>
      <x:c r="H50" s="22" t="n">
        <x:v>0.0005136</x:v>
      </x:c>
      <x:c r="I50" s="22" t="n">
        <x:v>0.0182032999999999</x:v>
      </x:c>
      <x:c r="J50" s="18" t="n">
        <x:v>0.2468331999999999</x:v>
      </x:c>
      <x:c r="K50" s="22" t="n">
        <x:v>0.9850562661932069</x:v>
      </x:c>
      <x:c r="L50" s="22" t="n">
        <x:v>0.970685743100596</x:v>
      </x:c>
      <x:c r="M50" s="22" t="n">
        <x:v>0.9868379158646146</x:v>
      </x:c>
      <x:c r="N50" s="22" t="n">
        <x:v>0.0017727322753511</x:v>
      </x:c>
      <x:c r="O50" s="18" t="str">
        <x:v>stratified_dgp_metrics.csv</x:v>
      </x:c>
      <x:c r="P50" s="18"/>
    </x:row>
    <x:row r="51">
      <x:c r="A51" s="18" t="str">
        <x:v>C4</x:v>
      </x:c>
      <x:c r="B51" s="18" t="str">
        <x:v>DGP &lt; 0.34</x:v>
      </x:c>
      <x:c r="C51" s="18" t="str">
        <x:v>Jones dcglare</x:v>
      </x:c>
      <x:c r="D51" s="21" t="n">
        <x:v>15621</x:v>
      </x:c>
      <x:c r="E51" s="22" t="n">
        <x:v>0.006063443769318</x:v>
      </x:c>
      <x:c r="F51" s="22" t="n">
        <x:v>0.0143863360591883</x:v>
      </x:c>
      <x:c r="G51" s="22" t="n">
        <x:v>0.0022277103608941</x:v>
      </x:c>
      <x:c r="H51" s="22" t="n">
        <x:v>0.0016656027296951</x:v>
      </x:c>
      <x:c r="I51" s="22" t="n">
        <x:v>0.0253345</x:v>
      </x:c>
      <x:c r="J51" s="18" t="n">
        <x:v>0.3345411</x:v>
      </x:c>
      <x:c r="K51" s="22" t="n">
        <x:v>0.9596368582024932</x:v>
      </x:c>
      <x:c r="L51" s="22" t="n">
        <x:v>0.9262148984696268</x:v>
      </x:c>
      <x:c r="M51" s="22" t="n">
        <x:v>1.0237387565219145</x:v>
      </x:c>
      <x:c r="N51" s="22" t="n">
        <x:v>-0.0026436219222716</x:v>
      </x:c>
      <x:c r="O51" s="18" t="str">
        <x:v>stratified_dgp_metrics.csv</x:v>
      </x:c>
      <x:c r="P51" s="18"/>
    </x:row>
    <x:row r="52">
      <x:c r="A52" s="18" t="str">
        <x:v>C4</x:v>
      </x:c>
      <x:c r="B52" s="18" t="str">
        <x:v>DGP &lt; 0.34</x:v>
      </x:c>
      <x:c r="C52" s="18" t="str">
        <x:v>Raytraverse Balanced</x:v>
      </x:c>
      <x:c r="D52" s="21" t="n">
        <x:v>15621</x:v>
      </x:c>
      <x:c r="E52" s="22" t="n">
        <x:v>0.0085676824870083</x:v>
      </x:c>
      <x:c r="F52" s="22" t="n">
        <x:v>0.0427433571635676</x:v>
      </x:c>
      <x:c r="G52" s="22" t="n">
        <x:v>0.0037184497437456</x:v>
      </x:c>
      <x:c r="H52" s="22" t="n">
        <x:v>0.0016890445030434</x:v>
      </x:c>
      <x:c r="I52" s="22" t="n">
        <x:v>0.0255253828446412</x:v>
      </x:c>
      <x:c r="J52" s="18" t="n">
        <x:v>0.818406</x:v>
      </x:c>
      <x:c r="K52" s="22" t="n">
        <x:v>0.7358951103060402</x:v>
      </x:c>
      <x:c r="L52" s="22" t="n">
        <x:v>0.5989923613921511</x:v>
      </x:c>
      <x:c r="M52" s="22" t="n">
        <x:v>1.0591159807990964</x:v>
      </x:c>
      <x:c r="N52" s="22" t="n">
        <x:v>-0.0084124967720001</x:v>
      </x:c>
      <x:c r="O52" s="18" t="str">
        <x:v>stratified_dgp_metrics.csv</x:v>
      </x:c>
      <x:c r="P52" s="18"/>
    </x:row>
    <x:row r="53">
      <x:c r="A53" s="18" t="str">
        <x:v>C4</x:v>
      </x:c>
      <x:c r="B53" s="18" t="str">
        <x:v>DGP &lt; 0.34</x:v>
      </x:c>
      <x:c r="C53" s="18" t="str">
        <x:v>Raytraverse High</x:v>
      </x:c>
      <x:c r="D53" s="21" t="n">
        <x:v>15621</x:v>
      </x:c>
      <x:c r="E53" s="22" t="n">
        <x:v>0.0085101339476227</x:v>
      </x:c>
      <x:c r="F53" s="22" t="n">
        <x:v>0.0427721144981438</x:v>
      </x:c>
      <x:c r="G53" s="22" t="n">
        <x:v>0.0040331922494204</x:v>
      </x:c>
      <x:c r="H53" s="22" t="n">
        <x:v>0.0014962113448302</x:v>
      </x:c>
      <x:c r="I53" s="22" t="n">
        <x:v>0.026460140227818</x:v>
      </x:c>
      <x:c r="J53" s="18" t="n">
        <x:v>0.818406</x:v>
      </x:c>
      <x:c r="K53" s="22" t="n">
        <x:v>0.7376036339847752</x:v>
      </x:c>
      <x:c r="L53" s="22" t="n">
        <x:v>0.604302589589528</x:v>
      </x:c>
      <x:c r="M53" s="22" t="n">
        <x:v>1.0699253055592843</x:v>
      </x:c>
      <x:c r="N53" s="22" t="n">
        <x:v>-0.0103158912026433</x:v>
      </x:c>
      <x:c r="O53" s="18" t="str">
        <x:v>stratified_dgp_metrics.csv</x:v>
      </x:c>
      <x:c r="P53" s="18"/>
    </x:row>
    <x:row r="54">
      <x:c r="A54" s="18" t="str">
        <x:v>C4</x:v>
      </x:c>
      <x:c r="B54" s="18" t="str">
        <x:v>0.34 &lt;= DGP &lt; 0.38</x:v>
      </x:c>
      <x:c r="C54" s="18" t="str">
        <x:v>EIGCM (MF1)</x:v>
      </x:c>
      <x:c r="D54" s="21" t="n">
        <x:v>768</x:v>
      </x:c>
      <x:c r="E54" s="22" t="n">
        <x:v>0.0094588475260416</x:v>
      </x:c>
      <x:c r="F54" s="22" t="n">
        <x:v>0.0148242794917007</x:v>
      </x:c>
      <x:c r="G54" s="22" t="n">
        <x:v>-0.0025218287760416</x:v>
      </x:c>
      <x:c r="H54" s="22" t="n">
        <x:v>0.0069777</x:v>
      </x:c>
      <x:c r="I54" s="22" t="n">
        <x:v>0.0246458649999999</x:v>
      </x:c>
      <x:c r="J54" s="18" t="n">
        <x:v>0.1919226</x:v>
      </x:c>
      <x:c r="K54" s="22" t="n">
        <x:v>0.5495134462862408</x:v>
      </x:c>
      <x:c r="L54" s="22" t="n">
        <x:v>0.3914747629947801</x:v>
      </x:c>
      <x:c r="M54" s="22" t="n">
        <x:v>1.0238895441731477</x:v>
      </x:c>
      <x:c r="N54" s="22" t="n">
        <x:v>-0.0110909457475332</x:v>
      </x:c>
      <x:c r="O54" s="18" t="str">
        <x:v>stratified_dgp_metrics.csv</x:v>
      </x:c>
      <x:c r="P54" s="18"/>
    </x:row>
    <x:row r="55">
      <x:c r="A55" s="18" t="str">
        <x:v>C4</x:v>
      </x:c>
      <x:c r="B55" s="18" t="str">
        <x:v>0.34 &lt;= DGP &lt; 0.38</x:v>
      </x:c>
      <x:c r="C55" s="18" t="str">
        <x:v>Jones dcglare</x:v>
      </x:c>
      <x:c r="D55" s="21" t="n">
        <x:v>768</x:v>
      </x:c>
      <x:c r="E55" s="22" t="n">
        <x:v>0.0243728234375</x:v>
      </x:c>
      <x:c r="F55" s="22" t="n">
        <x:v>0.05674163899649</x:v>
      </x:c>
      <x:c r="G55" s="22" t="n">
        <x:v>0.0175571315104166</x:v>
      </x:c>
      <x:c r="H55" s="22" t="n">
        <x:v>0.0087813</x:v>
      </x:c>
      <x:c r="I55" s="22" t="n">
        <x:v>0.1063945949999999</x:v>
      </x:c>
      <x:c r="J55" s="18" t="n">
        <x:v>0.409958</x:v>
      </x:c>
      <x:c r="K55" s="22" t="n">
        <x:v>0.1087610756761806</x:v>
      </x:c>
      <x:c r="L55" s="22" t="n">
        <x:v>0.0929023975662143</x:v>
      </x:c>
      <x:c r="M55" s="22" t="n">
        <x:v>1.5006953230029223</x:v>
      </x:c>
      <x:c r="N55" s="22" t="n">
        <x:v>-0.1620409704371908</x:v>
      </x:c>
      <x:c r="O55" s="18" t="str">
        <x:v>stratified_dgp_metrics.csv</x:v>
      </x:c>
      <x:c r="P55" s="18"/>
    </x:row>
    <x:row r="56">
      <x:c r="A56" s="18" t="str">
        <x:v>C4</x:v>
      </x:c>
      <x:c r="B56" s="18" t="str">
        <x:v>0.34 &lt;= DGP &lt; 0.38</x:v>
      </x:c>
      <x:c r="C56" s="18" t="str">
        <x:v>Raytraverse Balanced</x:v>
      </x:c>
      <x:c r="D56" s="21" t="n">
        <x:v>768</x:v>
      </x:c>
      <x:c r="E56" s="22" t="n">
        <x:v>0.0393366405811399</x:v>
      </x:c>
      <x:c r="F56" s="22" t="n">
        <x:v>0.1050434405943303</x:v>
      </x:c>
      <x:c r="G56" s="22" t="n">
        <x:v>0.0128033773327713</x:v>
      </x:c>
      <x:c r="H56" s="22" t="n">
        <x:v>0.0148068336004655</x:v>
      </x:c>
      <x:c r="I56" s="22" t="n">
        <x:v>0.0966680058481273</x:v>
      </x:c>
      <x:c r="J56" s="18" t="n">
        <x:v>0.6576409999999999</x:v>
      </x:c>
      <x:c r="K56" s="22" t="n">
        <x:v>0.0277772188861757</x:v>
      </x:c>
      <x:c r="L56" s="22" t="n">
        <x:v>0.0171696015689545</x:v>
      </x:c>
      <x:c r="M56" s="22" t="n">
        <x:v>1.2041213925221113</x:v>
      </x:c>
      <x:c r="N56" s="22" t="n">
        <x:v>-0.060414431940953</x:v>
      </x:c>
      <x:c r="O56" s="18" t="str">
        <x:v>stratified_dgp_metrics.csv</x:v>
      </x:c>
      <x:c r="P56" s="18"/>
    </x:row>
    <x:row r="57">
      <x:c r="A57" s="18" t="str">
        <x:v>C4</x:v>
      </x:c>
      <x:c r="B57" s="18" t="str">
        <x:v>0.34 &lt;= DGP &lt; 0.38</x:v>
      </x:c>
      <x:c r="C57" s="18" t="str">
        <x:v>Raytraverse High</x:v>
      </x:c>
      <x:c r="D57" s="21" t="n">
        <x:v>768</x:v>
      </x:c>
      <x:c r="E57" s="22" t="n">
        <x:v>0.0396291226263509</x:v>
      </x:c>
      <x:c r="F57" s="22" t="n">
        <x:v>0.1051736333264993</x:v>
      </x:c>
      <x:c r="G57" s="22" t="n">
        <x:v>0.015079027146153</x:v>
      </x:c>
      <x:c r="H57" s="22" t="n">
        <x:v>0.0156749974304275</x:v>
      </x:c>
      <x:c r="I57" s="22" t="n">
        <x:v>0.1000103331010371</x:v>
      </x:c>
      <x:c r="J57" s="18" t="n">
        <x:v>0.6576409999999999</x:v>
      </x:c>
      <x:c r="K57" s="22" t="n">
        <x:v>0.0271496574413259</x:v>
      </x:c>
      <x:c r="L57" s="22" t="n">
        <x:v>0.0165265065825214</x:v>
      </x:c>
      <x:c r="M57" s="22" t="n">
        <x:v>1.1790751888619926</x:v>
      </x:c>
      <x:c r="N57" s="22" t="n">
        <x:v>-0.0491547744252978</x:v>
      </x:c>
      <x:c r="O57" s="18" t="str">
        <x:v>stratified_dgp_metrics.csv</x:v>
      </x:c>
      <x:c r="P57" s="18"/>
    </x:row>
    <x:row r="58">
      <x:c r="A58" s="18" t="str">
        <x:v>C4</x:v>
      </x:c>
      <x:c r="B58" s="18" t="str">
        <x:v>0.38 &lt;= DGP &lt; 0.45</x:v>
      </x:c>
      <x:c r="C58" s="18" t="str">
        <x:v>EIGCM (MF1)</x:v>
      </x:c>
      <x:c r="D58" s="21" t="n">
        <x:v>754</x:v>
      </x:c>
      <x:c r="E58" s="22" t="n">
        <x:v>0.0126509840848806</x:v>
      </x:c>
      <x:c r="F58" s="22" t="n">
        <x:v>0.0187638453464075</x:v>
      </x:c>
      <x:c r="G58" s="22" t="n">
        <x:v>-0.0019573941644562</x:v>
      </x:c>
      <x:c r="H58" s="22" t="n">
        <x:v>0.0089598999999999</x:v>
      </x:c>
      <x:c r="I58" s="22" t="n">
        <x:v>0.037825775</x:v>
      </x:c>
      <x:c r="J58" s="18" t="n">
        <x:v>0.1187184</x:v>
      </x:c>
      <x:c r="K58" s="22" t="n">
        <x:v>0.6743572874107008</x:v>
      </x:c>
      <x:c r="L58" s="22" t="n">
        <x:v>0.4990097690044497</x:v>
      </x:c>
      <x:c r="M58" s="22" t="n">
        <x:v>0.9487424567839488</x:v>
      </x:c>
      <x:c r="N58" s="22" t="n">
        <x:v>0.0190984994915647</x:v>
      </x:c>
      <x:c r="O58" s="18" t="str">
        <x:v>stratified_dgp_metrics.csv</x:v>
      </x:c>
      <x:c r="P58" s="18"/>
    </x:row>
    <x:row r="59">
      <x:c r="A59" s="18" t="str">
        <x:v>C4</x:v>
      </x:c>
      <x:c r="B59" s="18" t="str">
        <x:v>0.38 &lt;= DGP &lt; 0.45</x:v>
      </x:c>
      <x:c r="C59" s="18" t="str">
        <x:v>Jones dcglare</x:v>
      </x:c>
      <x:c r="D59" s="21" t="n">
        <x:v>754</x:v>
      </x:c>
      <x:c r="E59" s="22" t="n">
        <x:v>0.0457904034772487</x:v>
      </x:c>
      <x:c r="F59" s="22" t="n">
        <x:v>0.092004944319377</x:v>
      </x:c>
      <x:c r="G59" s="22" t="n">
        <x:v>0.038953750634157</x:v>
      </x:c>
      <x:c r="H59" s="22" t="n">
        <x:v>0.0130590499999999</x:v>
      </x:c>
      <x:c r="I59" s="22" t="n">
        <x:v>0.2319032200000001</x:v>
      </x:c>
      <x:c r="J59" s="18" t="n">
        <x:v>0.4947663999999999</x:v>
      </x:c>
      <x:c r="K59" s="22" t="n">
        <x:v>0.0979275604921232</x:v>
      </x:c>
      <x:c r="L59" s="22" t="n">
        <x:v>0.0734291042176557</x:v>
      </x:c>
      <x:c r="M59" s="22" t="n">
        <x:v>1.1957539116064078</x:v>
      </x:c>
      <x:c r="N59" s="22" t="n">
        <x:v>-0.0414592634691781</x:v>
      </x:c>
      <x:c r="O59" s="18" t="str">
        <x:v>stratified_dgp_metrics.csv</x:v>
      </x:c>
      <x:c r="P59" s="18"/>
    </x:row>
    <x:row r="60">
      <x:c r="A60" s="18" t="str">
        <x:v>C4</x:v>
      </x:c>
      <x:c r="B60" s="18" t="str">
        <x:v>0.38 &lt;= DGP &lt; 0.45</x:v>
      </x:c>
      <x:c r="C60" s="18" t="str">
        <x:v>Raytraverse Balanced</x:v>
      </x:c>
      <x:c r="D60" s="21" t="n">
        <x:v>754</x:v>
      </x:c>
      <x:c r="E60" s="22" t="n">
        <x:v>0.0595608723485401</x:v>
      </x:c>
      <x:c r="F60" s="22" t="n">
        <x:v>0.136540015604922</x:v>
      </x:c>
      <x:c r="G60" s="22" t="n">
        <x:v>0.0251803637614174</x:v>
      </x:c>
      <x:c r="H60" s="22" t="n">
        <x:v>0.0222083900128526</x:v>
      </x:c>
      <x:c r="I60" s="22" t="n">
        <x:v>0.2641697890148125</x:v>
      </x:c>
      <x:c r="J60" s="18" t="n">
        <x:v>0.6181110000000001</x:v>
      </x:c>
      <x:c r="K60" s="22" t="n">
        <x:v>0.0191449200935682</x:v>
      </x:c>
      <x:c r="L60" s="22" t="n">
        <x:v>0.0047891877093452</x:v>
      </x:c>
      <x:c r="M60" s="22" t="n">
        <x:v>0.4735049939243335</x:v>
      </x:c>
      <x:c r="N60" s="22" t="n">
        <x:v>0.2414572698087562</x:v>
      </x:c>
      <x:c r="O60" s="18" t="str">
        <x:v>stratified_dgp_metrics.csv</x:v>
      </x:c>
      <x:c r="P60" s="18"/>
    </x:row>
    <x:row r="61">
      <x:c r="A61" s="18" t="str">
        <x:v>C4</x:v>
      </x:c>
      <x:c r="B61" s="18" t="str">
        <x:v>0.38 &lt;= DGP &lt; 0.45</x:v>
      </x:c>
      <x:c r="C61" s="18" t="str">
        <x:v>Raytraverse High</x:v>
      </x:c>
      <x:c r="D61" s="21" t="n">
        <x:v>754</x:v>
      </x:c>
      <x:c r="E61" s="22" t="n">
        <x:v>0.0613167519345477</x:v>
      </x:c>
      <x:c r="F61" s="22" t="n">
        <x:v>0.1374681128548633</x:v>
      </x:c>
      <x:c r="G61" s="22" t="n">
        <x:v>0.0298787328933109</x:v>
      </x:c>
      <x:c r="H61" s="22" t="n">
        <x:v>0.0238480189302503</x:v>
      </x:c>
      <x:c r="I61" s="22" t="n">
        <x:v>0.2594813216368943</x:v>
      </x:c>
      <x:c r="J61" s="18" t="n">
        <x:v>0.6181110000000001</x:v>
      </x:c>
      <x:c r="K61" s="22" t="n">
        <x:v>0.023350480623956</x:v>
      </x:c>
      <x:c r="L61" s="22" t="n">
        <x:v>0.0073491036910405</x:v>
      </x:c>
      <x:c r="M61" s="22" t="n">
        <x:v>0.5879183019359069</x:v>
      </x:c>
      <x:c r="N61" s="22" t="n">
        <x:v>0.1991562258753186</x:v>
      </x:c>
      <x:c r="O61" s="18" t="str">
        <x:v>stratified_dgp_metrics.csv</x:v>
      </x:c>
      <x:c r="P61" s="18"/>
    </x:row>
    <x:row r="62">
      <x:c r="A62" s="18" t="str">
        <x:v>C4</x:v>
      </x:c>
      <x:c r="B62" s="18" t="str">
        <x:v>DGP &gt;= 0.45</x:v>
      </x:c>
      <x:c r="C62" s="18" t="str">
        <x:v>EIGCM (MF1)</x:v>
      </x:c>
      <x:c r="D62" s="21" t="n">
        <x:v>1577</x:v>
      </x:c>
      <x:c r="E62" s="22" t="n">
        <x:v>0.0164316972733037</x:v>
      </x:c>
      <x:c r="F62" s="22" t="n">
        <x:v>0.0352244803665305</x:v>
      </x:c>
      <x:c r="G62" s="22" t="n">
        <x:v>-0.0054972502219403</x:v>
      </x:c>
      <x:c r="H62" s="22" t="n">
        <x:v>0.0041334</x:v>
      </x:c>
      <x:c r="I62" s="22" t="n">
        <x:v>0.0800359199999998</x:v>
      </x:c>
      <x:c r="J62" s="18" t="n">
        <x:v>0.3306417</x:v>
      </x:c>
      <x:c r="K62" s="22" t="n">
        <x:v>0.9876299905795723</x:v>
      </x:c>
      <x:c r="L62" s="22" t="n">
        <x:v>0.9763616097312748</x:v>
      </x:c>
      <x:c r="M62" s="22" t="n">
        <x:v>1.0072855856146214</x:v>
      </x:c>
      <x:c r="N62" s="22" t="n">
        <x:v>-0.010774979098398</x:v>
      </x:c>
      <x:c r="O62" s="18" t="str">
        <x:v>stratified_dgp_metrics.csv</x:v>
      </x:c>
      <x:c r="P62" s="18"/>
    </x:row>
    <x:row r="63">
      <x:c r="A63" s="18" t="str">
        <x:v>C4</x:v>
      </x:c>
      <x:c r="B63" s="18" t="str">
        <x:v>DGP &gt;= 0.45</x:v>
      </x:c>
      <x:c r="C63" s="18" t="str">
        <x:v>Jones dcglare</x:v>
      </x:c>
      <x:c r="D63" s="21" t="n">
        <x:v>1577</x:v>
      </x:c>
      <x:c r="E63" s="22" t="n">
        <x:v>0.1014835450163571</x:v>
      </x:c>
      <x:c r="F63" s="22" t="n">
        <x:v>0.1750438574524689</x:v>
      </x:c>
      <x:c r="G63" s="22" t="n">
        <x:v>-0.0248198982186399</x:v>
      </x:c>
      <x:c r="H63" s="22" t="n">
        <x:v>0.0151470999999999</x:v>
      </x:c>
      <x:c r="I63" s="22" t="n">
        <x:v>0.4096587599999995</x:v>
      </x:c>
      <x:c r="J63" s="18" t="n">
        <x:v>0.6256746</x:v>
      </x:c>
      <x:c r="K63" s="22" t="n">
        <x:v>0.7088686543910586</x:v>
      </x:c>
      <x:c r="L63" s="22" t="n">
        <x:v>0.5102691820069789</x:v>
      </x:c>
      <x:c r="M63" s="22" t="n">
        <x:v>0.7585945977999806</x:v>
      </x:c>
      <x:c r="N63" s="22" t="n">
        <x:v>0.1500558536450327</x:v>
      </x:c>
      <x:c r="O63" s="18" t="str">
        <x:v>stratified_dgp_metrics.csv</x:v>
      </x:c>
      <x:c r="P63" s="18"/>
    </x:row>
    <x:row r="64">
      <x:c r="A64" s="18" t="str">
        <x:v>C4</x:v>
      </x:c>
      <x:c r="B64" s="18" t="str">
        <x:v>DGP &gt;= 0.45</x:v>
      </x:c>
      <x:c r="C64" s="18" t="str">
        <x:v>Raytraverse Balanced</x:v>
      </x:c>
      <x:c r="D64" s="21" t="n">
        <x:v>1577</x:v>
      </x:c>
      <x:c r="E64" s="22" t="n">
        <x:v>0.1080902222130519</x:v>
      </x:c>
      <x:c r="F64" s="22" t="n">
        <x:v>0.1968075703288977</x:v>
      </x:c>
      <x:c r="G64" s="22" t="n">
        <x:v>-0.0502238775617004</x:v>
      </x:c>
      <x:c r="H64" s="22" t="n">
        <x:v>0.0302061519020805</x:v>
      </x:c>
      <x:c r="I64" s="22" t="n">
        <x:v>0.5006495490974707</x:v>
      </x:c>
      <x:c r="J64" s="18" t="n">
        <x:v>0.7728205709529317</x:v>
      </x:c>
      <x:c r="K64" s="22" t="n">
        <x:v>0.6666697720554929</x:v>
      </x:c>
      <x:c r="L64" s="22" t="n">
        <x:v>0.4729946516045324</x:v>
      </x:c>
      <x:c r="M64" s="22" t="n">
        <x:v>0.7876963885525907</x:v>
      </x:c>
      <x:c r="N64" s="22" t="n">
        <x:v>0.1035703347338345</x:v>
      </x:c>
      <x:c r="O64" s="18" t="str">
        <x:v>stratified_dgp_metrics.csv</x:v>
      </x:c>
      <x:c r="P64" s="18"/>
    </x:row>
    <x:row r="65">
      <x:c r="A65" s="18" t="str">
        <x:v>C4</x:v>
      </x:c>
      <x:c r="B65" s="18" t="str">
        <x:v>DGP &gt;= 0.45</x:v>
      </x:c>
      <x:c r="C65" s="18" t="str">
        <x:v>Raytraverse High</x:v>
      </x:c>
      <x:c r="D65" s="21" t="n">
        <x:v>1577</x:v>
      </x:c>
      <x:c r="E65" s="22" t="n">
        <x:v>0.1057370655443491</x:v>
      </x:c>
      <x:c r="F65" s="22" t="n">
        <x:v>0.1928067992960337</x:v>
      </x:c>
      <x:c r="G65" s="22" t="n">
        <x:v>-0.0475528273670183</x:v>
      </x:c>
      <x:c r="H65" s="22" t="n">
        <x:v>0.0303416872559079</x:v>
      </x:c>
      <x:c r="I65" s="22" t="n">
        <x:v>0.4913278447254149</x:v>
      </x:c>
      <x:c r="J65" s="18" t="n">
        <x:v>0.7679461032002375</x:v>
      </x:c>
      <x:c r="K65" s="22" t="n">
        <x:v>0.6764351734241457</x:v>
      </x:c>
      <x:c r="L65" s="22" t="n">
        <x:v>0.483903301957943</x:v>
      </x:c>
      <x:c r="M65" s="22" t="n">
        <x:v>0.7902213465700884</x:v>
      </x:c>
      <x:c r="N65" s="22" t="n">
        <x:v>0.1044122877844176</x:v>
      </x:c>
      <x:c r="O65" s="18" t="str">
        <x:v>stratified_dgp_metrics.csv</x:v>
      </x:c>
      <x:c r="P65" s="18"/>
    </x:row>
  </x:sheetData>
  <x:mergeCells>
    <x:mergeCell ref="A1:O1"/>
    <x:mergeCell ref="A2:O2"/>
    <x:mergeCell ref="A4:P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12" hidden="0" customWidth="1"/>
    <x:col min="4" max="4" width="14" hidden="0" customWidth="1"/>
    <x:col min="5" max="5" width="14" hidden="0" customWidth="1"/>
    <x:col min="6" max="6" width="15" hidden="0" customWidth="1"/>
    <x:col min="7" max="7" width="16" hidden="0" customWidth="1"/>
    <x:col min="8" max="8" width="14" hidden="0" customWidth="1"/>
  </x:cols>
  <x:sheetData>
    <x:row r="1" ht="28" customHeight="1">
      <x:c r="A1" s="2" t="str">
        <x:v>Viewpoint-specific DGP RMSE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Summary of 7,800 per-view RMSE values used in Fig. 13</x:v>
      </x:c>
      <x:c r="B2" s="4"/>
      <x:c r="C2" s="4"/>
      <x:c r="D2" s="4"/>
      <x:c r="E2" s="4"/>
      <x:c r="F2" s="4"/>
      <x:c r="G2" s="4"/>
      <x:c r="H2" s="4"/>
    </x:row>
    <x:row r="4" ht="22" customHeight="1">
      <x:c r="A4" s="6" t="str">
        <x:v>Distribution summary</x:v>
      </x:c>
      <x:c r="B4" s="6"/>
      <x:c r="C4" s="6"/>
      <x:c r="D4" s="6"/>
      <x:c r="E4" s="6"/>
      <x:c r="F4" s="6"/>
      <x:c r="G4" s="6"/>
      <x:c r="H4" s="6"/>
    </x:row>
    <x:row r="5" ht="36" customHeight="1">
      <x:c r="A5" s="14" t="str">
        <x:v>case</x:v>
      </x:c>
      <x:c r="B5" s="14" t="str">
        <x:v>method</x:v>
      </x:c>
      <x:c r="C5" s="14" t="str">
        <x:v>viewpoints</x:v>
      </x:c>
      <x:c r="D5" s="14" t="str">
        <x:v>minimum</x:v>
      </x:c>
      <x:c r="E5" s="14" t="str">
        <x:v>median</x:v>
      </x:c>
      <x:c r="F5" s="14" t="str">
        <x:v>P95_linear</x:v>
      </x:c>
      <x:c r="G5" s="14" t="str">
        <x:v>P95_whisker</x:v>
      </x:c>
      <x:c r="H5" s="14" t="str">
        <x:v>maximum</x:v>
      </x:c>
    </x:row>
    <x:row r="6">
      <x:c r="A6" s="18" t="str">
        <x:v>C1</x:v>
      </x:c>
      <x:c r="B6" s="18" t="str">
        <x:v>EIGCM (MF1)</x:v>
      </x:c>
      <x:c r="C6" s="21" t="n">
        <x:v>520</x:v>
      </x:c>
      <x:c r="D6" s="22" t="n">
        <x:v>0.002252898827930116</x:v>
      </x:c>
      <x:c r="E6" s="22" t="n">
        <x:v>0.01072925280088486</x:v>
      </x:c>
      <x:c r="F6" s="22" t="n">
        <x:v>0.032513790551931196</x:v>
      </x:c>
      <x:c r="G6" s="22" t="n">
        <x:v>0.03242237858160882</x:v>
      </x:c>
      <x:c r="H6" s="22" t="n">
        <x:v>0.1189579293740777</x:v>
      </x:c>
    </x:row>
    <x:row r="7">
      <x:c r="A7" s="18" t="str">
        <x:v>C1</x:v>
      </x:c>
      <x:c r="B7" s="18" t="str">
        <x:v>Jones dcglare</x:v>
      </x:c>
      <x:c r="C7" s="21" t="n">
        <x:v>520</x:v>
      </x:c>
      <x:c r="D7" s="22" t="n">
        <x:v>0.002697662997554034</x:v>
      </x:c>
      <x:c r="E7" s="22" t="n">
        <x:v>0.04373831071927191</x:v>
      </x:c>
      <x:c r="F7" s="22" t="n">
        <x:v>0.11386626884869579</x:v>
      </x:c>
      <x:c r="G7" s="22" t="n">
        <x:v>0.11382327777765792</x:v>
      </x:c>
      <x:c r="H7" s="22" t="n">
        <x:v>0.16978908385090993</x:v>
      </x:c>
    </x:row>
    <x:row r="8">
      <x:c r="A8" s="18" t="str">
        <x:v>C1</x:v>
      </x:c>
      <x:c r="B8" s="18" t="str">
        <x:v>Raytraverse Balanced</x:v>
      </x:c>
      <x:c r="C8" s="21" t="n">
        <x:v>520</x:v>
      </x:c>
      <x:c r="D8" s="22" t="n">
        <x:v>0.001893058900723467</x:v>
      </x:c>
      <x:c r="E8" s="22" t="n">
        <x:v>0.039414215142576245</x:v>
      </x:c>
      <x:c r="F8" s="22" t="n">
        <x:v>0.16070572062391486</x:v>
      </x:c>
      <x:c r="G8" s="22" t="n">
        <x:v>0.16065511363554652</x:v>
      </x:c>
      <x:c r="H8" s="22" t="n">
        <x:v>0.27169707738778676</x:v>
      </x:c>
    </x:row>
    <x:row r="9">
      <x:c r="A9" s="18" t="str">
        <x:v>C1</x:v>
      </x:c>
      <x:c r="B9" s="18" t="str">
        <x:v>Raytraverse High</x:v>
      </x:c>
      <x:c r="C9" s="21" t="n">
        <x:v>520</x:v>
      </x:c>
      <x:c r="D9" s="22" t="n">
        <x:v>0.0015254035162430462</x:v>
      </x:c>
      <x:c r="E9" s="22" t="n">
        <x:v>0.039586225158625296</x:v>
      </x:c>
      <x:c r="F9" s="22" t="n">
        <x:v>0.16732526325198388</x:v>
      </x:c>
      <x:c r="G9" s="22" t="n">
        <x:v>0.1672929717090354</x:v>
      </x:c>
      <x:c r="H9" s="22" t="n">
        <x:v>0.27163806918623906</x:v>
      </x:c>
    </x:row>
    <x:row r="10">
      <x:c r="A10" s="18" t="str">
        <x:v>C2</x:v>
      </x:c>
      <x:c r="B10" s="18" t="str">
        <x:v>EIGCM (MF1)</x:v>
      </x:c>
      <x:c r="C10" s="21" t="n">
        <x:v>520</x:v>
      </x:c>
      <x:c r="D10" s="22" t="n">
        <x:v>0.002518975855878729</x:v>
      </x:c>
      <x:c r="E10" s="22" t="n">
        <x:v>0.012140401847356791</x:v>
      </x:c>
      <x:c r="F10" s="22" t="n">
        <x:v>0.019896558924222103</x:v>
      </x:c>
      <x:c r="G10" s="22" t="n">
        <x:v>0.019895480096222024</x:v>
      </x:c>
      <x:c r="H10" s="22" t="n">
        <x:v>0.10806039699718728</x:v>
      </x:c>
    </x:row>
    <x:row r="11">
      <x:c r="A11" s="18" t="str">
        <x:v>C2</x:v>
      </x:c>
      <x:c r="B11" s="18" t="str">
        <x:v>Jones dcglare</x:v>
      </x:c>
      <x:c r="C11" s="21" t="n">
        <x:v>520</x:v>
      </x:c>
      <x:c r="D11" s="22" t="n">
        <x:v>0.0019231916249666003</x:v>
      </x:c>
      <x:c r="E11" s="22" t="n">
        <x:v>0.013653941768777222</x:v>
      </x:c>
      <x:c r="F11" s="22" t="n">
        <x:v>0.027899807680421537</x:v>
      </x:c>
      <x:c r="G11" s="22" t="n">
        <x:v>0.027891111635417912</x:v>
      </x:c>
      <x:c r="H11" s="22" t="n">
        <x:v>0.11325777438268754</x:v>
      </x:c>
    </x:row>
    <x:row r="12">
      <x:c r="A12" s="18" t="str">
        <x:v>C2</x:v>
      </x:c>
      <x:c r="B12" s="18" t="str">
        <x:v>Raytraverse Balanced</x:v>
      </x:c>
      <x:c r="C12" s="21" t="n">
        <x:v>520</x:v>
      </x:c>
      <x:c r="D12" s="22" t="n">
        <x:v>0.010119185502849817</x:v>
      </x:c>
      <x:c r="E12" s="22" t="n">
        <x:v>0.029315546841150723</x:v>
      </x:c>
      <x:c r="F12" s="22" t="n">
        <x:v>0.12122219255578812</x:v>
      </x:c>
      <x:c r="G12" s="22" t="n">
        <x:v>0.12113673899295298</x:v>
      </x:c>
      <x:c r="H12" s="22" t="n">
        <x:v>0.2363776325027231</x:v>
      </x:c>
    </x:row>
    <x:row r="13">
      <x:c r="A13" s="18" t="str">
        <x:v>C3</x:v>
      </x:c>
      <x:c r="B13" s="18" t="str">
        <x:v>EIGCM (MF1)</x:v>
      </x:c>
      <x:c r="C13" s="21" t="n">
        <x:v>520</x:v>
      </x:c>
      <x:c r="D13" s="22" t="n">
        <x:v>0.0001288274502753357</x:v>
      </x:c>
      <x:c r="E13" s="22" t="n">
        <x:v>0.0014556721076693449</x:v>
      </x:c>
      <x:c r="F13" s="22" t="n">
        <x:v>0.01088300846199588</x:v>
      </x:c>
      <x:c r="G13" s="22" t="n">
        <x:v>0.010872647559255188</x:v>
      </x:c>
      <x:c r="H13" s="22" t="n">
        <x:v>0.028616591101744533</x:v>
      </x:c>
    </x:row>
    <x:row r="14">
      <x:c r="A14" s="18" t="str">
        <x:v>C3</x:v>
      </x:c>
      <x:c r="B14" s="18" t="str">
        <x:v>Jones dcglare</x:v>
      </x:c>
      <x:c r="C14" s="21" t="n">
        <x:v>520</x:v>
      </x:c>
      <x:c r="D14" s="22" t="n">
        <x:v>0.0009074931440451164</x:v>
      </x:c>
      <x:c r="E14" s="22" t="n">
        <x:v>0.04225604458924158</x:v>
      </x:c>
      <x:c r="F14" s="22" t="n">
        <x:v>0.09855583709242677</x:v>
      </x:c>
      <x:c r="G14" s="22" t="n">
        <x:v>0.09853218351082307</x:v>
      </x:c>
      <x:c r="H14" s="22" t="n">
        <x:v>0.1297068330810081</x:v>
      </x:c>
    </x:row>
    <x:row r="15">
      <x:c r="A15" s="18" t="str">
        <x:v>C3</x:v>
      </x:c>
      <x:c r="B15" s="18" t="str">
        <x:v>Raytraverse Balanced</x:v>
      </x:c>
      <x:c r="C15" s="21" t="n">
        <x:v>520</x:v>
      </x:c>
      <x:c r="D15" s="22" t="n">
        <x:v>0.0008415857720267001</x:v>
      </x:c>
      <x:c r="E15" s="22" t="n">
        <x:v>0.005352932972880991</x:v>
      </x:c>
      <x:c r="F15" s="22" t="n">
        <x:v>0.09011377131352381</x:v>
      </x:c>
      <x:c r="G15" s="22" t="n">
        <x:v>0.09009493892147036</x:v>
      </x:c>
      <x:c r="H15" s="22" t="n">
        <x:v>0.11459625934911619</x:v>
      </x:c>
    </x:row>
    <x:row r="16">
      <x:c r="A16" s="18" t="str">
        <x:v>C3</x:v>
      </x:c>
      <x:c r="B16" s="18" t="str">
        <x:v>Raytraverse High</x:v>
      </x:c>
      <x:c r="C16" s="21" t="n">
        <x:v>520</x:v>
      </x:c>
      <x:c r="D16" s="22" t="n">
        <x:v>0.0008593748192921015</x:v>
      </x:c>
      <x:c r="E16" s="22" t="n">
        <x:v>0.005632663181250261</x:v>
      </x:c>
      <x:c r="F16" s="22" t="n">
        <x:v>0.08811643173522282</x:v>
      </x:c>
      <x:c r="G16" s="22" t="n">
        <x:v>0.08809766348667979</x:v>
      </x:c>
      <x:c r="H16" s="22" t="n">
        <x:v>0.11437787698763532</x:v>
      </x:c>
    </x:row>
    <x:row r="17">
      <x:c r="A17" s="18" t="str">
        <x:v>C4</x:v>
      </x:c>
      <x:c r="B17" s="18" t="str">
        <x:v>EIGCM (MF1)</x:v>
      </x:c>
      <x:c r="C17" s="21" t="n">
        <x:v>520</x:v>
      </x:c>
      <x:c r="D17" s="22" t="n">
        <x:v>0.0015963478784052282</x:v>
      </x:c>
      <x:c r="E17" s="22" t="n">
        <x:v>0.009834299369925002</x:v>
      </x:c>
      <x:c r="F17" s="22" t="n">
        <x:v>0.027788339501187722</x:v>
      </x:c>
      <x:c r="G17" s="22" t="n">
        <x:v>0.02774635948537513</x:v>
      </x:c>
      <x:c r="H17" s="22" t="n">
        <x:v>0.06226999429160843</x:v>
      </x:c>
    </x:row>
    <x:row r="18">
      <x:c r="A18" s="18" t="str">
        <x:v>C4</x:v>
      </x:c>
      <x:c r="B18" s="18" t="str">
        <x:v>Jones dcglare</x:v>
      </x:c>
      <x:c r="C18" s="21" t="n">
        <x:v>520</x:v>
      </x:c>
      <x:c r="D18" s="22" t="n">
        <x:v>0.003411516340997311</x:v>
      </x:c>
      <x:c r="E18" s="22" t="n">
        <x:v>0.040503882794031276</x:v>
      </x:c>
      <x:c r="F18" s="22" t="n">
        <x:v>0.10849488900339682</x:v>
      </x:c>
      <x:c r="G18" s="22" t="n">
        <x:v>0.10845491271696005</x:v>
      </x:c>
      <x:c r="H18" s="22" t="n">
        <x:v>0.15332672240276868</x:v>
      </x:c>
    </x:row>
    <x:row r="19">
      <x:c r="A19" s="18" t="str">
        <x:v>C4</x:v>
      </x:c>
      <x:c r="B19" s="18" t="str">
        <x:v>Raytraverse Balanced</x:v>
      </x:c>
      <x:c r="C19" s="21" t="n">
        <x:v>520</x:v>
      </x:c>
      <x:c r="D19" s="22" t="n">
        <x:v>0.0024972014614775377</x:v>
      </x:c>
      <x:c r="E19" s="22" t="n">
        <x:v>0.021719979124703324</x:v>
      </x:c>
      <x:c r="F19" s="22" t="n">
        <x:v>0.15700281666886404</x:v>
      </x:c>
      <x:c r="G19" s="22" t="n">
        <x:v>0.156981020633532</x:v>
      </x:c>
      <x:c r="H19" s="22" t="n">
        <x:v>0.2722924493064641</x:v>
      </x:c>
    </x:row>
    <x:row r="20">
      <x:c r="A20" s="18" t="str">
        <x:v>C4</x:v>
      </x:c>
      <x:c r="B20" s="18" t="str">
        <x:v>Raytraverse High</x:v>
      </x:c>
      <x:c r="C20" s="21" t="n">
        <x:v>520</x:v>
      </x:c>
      <x:c r="D20" s="22" t="n">
        <x:v>0.0029069801779352295</x:v>
      </x:c>
      <x:c r="E20" s="22" t="n">
        <x:v>0.02376476710737229</x:v>
      </x:c>
      <x:c r="F20" s="22" t="n">
        <x:v>0.15606029867504834</x:v>
      </x:c>
      <x:c r="G20" s="22" t="n">
        <x:v>0.15604189861065382</x:v>
      </x:c>
      <x:c r="H20" s="22" t="n">
        <x:v>0.27272398526713965</x:v>
      </x:c>
    </x:row>
    <x:row r="22" ht="32" customHeight="1">
      <x:c r="A22" s="25" t="str">
        <x:v>P95_linear is the interpolated percentile. P95_whisker is the observed value at the lower 95th-percentile index. Full per-view values are in fig13_viewpoint_rmse.csv.</x:v>
      </x:c>
      <x:c r="B22" s="25"/>
      <x:c r="C22" s="25"/>
      <x:c r="D22" s="25"/>
      <x:c r="E22" s="25"/>
      <x:c r="F22" s="25"/>
      <x:c r="G22" s="25"/>
      <x:c r="H22" s="25"/>
    </x:row>
  </x:sheetData>
  <x:mergeCells>
    <x:mergeCell ref="A1:H1"/>
    <x:mergeCell ref="A2:H2"/>
    <x:mergeCell ref="A4:H4"/>
    <x:mergeCell ref="A22:H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20" hidden="0" customWidth="1"/>
    <x:col min="12" max="12" width="29" hidden="0" customWidth="1"/>
    <x:col min="13" max="13" width="29" hidden="0" customWidth="1"/>
  </x:cols>
  <x:sheetData>
    <x:row r="1" ht="28" customHeight="1">
      <x:c r="A1" s="2" t="str">
        <x:v>Contrast, solar-sampling and illuminance diagnostics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4" t="str">
        <x:v>Supporting data for Figs. 14, 15 and 17 and Table 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 ht="22" customHeight="1">
      <x:c r="A4" s="6" t="str">
        <x:v>Contrast-index metrics (Fig. 14)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</x:row>
    <x:row r="5" ht="42" customHeight="1">
      <x:c r="A5" s="14" t="str">
        <x:v>contrast_group</x:v>
      </x:c>
      <x:c r="B5" s="14" t="str">
        <x:v>method</x:v>
      </x:c>
      <x:c r="C5" s="14" t="str">
        <x:v>n</x:v>
      </x:c>
      <x:c r="D5" s="14" t="str">
        <x:v>slope</x:v>
      </x:c>
      <x:c r="E5" s="14" t="str">
        <x:v>intercept</x:v>
      </x:c>
      <x:c r="F5" s="14" t="str">
        <x:v>R2</x:v>
      </x:c>
      <x:c r="G5" s="14" t="str">
        <x:v>MAE</x:v>
      </x:c>
      <x:c r="H5" s="14" t="str">
        <x:v>RMSE</x:v>
      </x:c>
      <x:c r="I5" s="14" t="str">
        <x:v>MBE</x:v>
      </x:c>
      <x:c r="J5" s="14" t="str">
        <x:v>CCC</x:v>
      </x:c>
      <x:c r="K5" s="14" t="str">
        <x:v>median_AE</x:v>
      </x:c>
      <x:c r="L5" s="14" t="str">
        <x:v>P95_AE</x:v>
      </x:c>
      <x:c r="M5" s="14" t="str">
        <x:v>p01</x:v>
      </x:c>
      <x:c r="N5" s="14" t="str">
        <x:v>p05</x:v>
      </x:c>
      <x:c r="O5" s="14" t="str">
        <x:v>p25</x:v>
      </x:c>
      <x:c r="P5" s="14" t="str">
        <x:v>median</x:v>
      </x:c>
      <x:c r="Q5" s="14" t="str">
        <x:v>p75</x:v>
      </x:c>
      <x:c r="R5" s="14" t="str">
        <x:v>p95</x:v>
      </x:c>
      <x:c r="S5" s="14" t="str">
        <x:v>p99</x:v>
      </x:c>
      <x:c r="T5" s="14" t="str">
        <x:v>mean</x:v>
      </x:c>
    </x:row>
    <x:row r="6">
      <x:c r="A6" s="18" t="str">
        <x:v>Z_ref_lt_0.5</x:v>
      </x:c>
      <x:c r="B6" s="18" t="str">
        <x:v>EIGCM (MF1)</x:v>
      </x:c>
      <x:c r="C6" s="21" t="n">
        <x:v>31930</x:v>
      </x:c>
      <x:c r="D6" s="22" t="n">
        <x:v>0.7008589863286738</x:v>
      </x:c>
      <x:c r="E6" s="22" t="n">
        <x:v>-0.0083241341669503</x:v>
      </x:c>
      <x:c r="F6" s="22" t="n">
        <x:v>0.7371142893443094</x:v>
      </x:c>
      <x:c r="G6" s="22" t="n">
        <x:v>0.0492089128347125</x:v>
      </x:c>
      <x:c r="H6" s="22" t="n">
        <x:v>0.0896114189197865</x:v>
      </x:c>
      <x:c r="I6" s="22" t="n">
        <x:v>-0.0461840073844602</x:v>
      </x:c>
      <x:c r="J6" s="22" t="n">
        <x:v>0.7954749632058976</x:v>
      </x:c>
      <x:c r="K6" s="22" t="n">
        <x:v>0.0112253527576087</x:v>
      </x:c>
      <x:c r="L6" s="22" t="n">
        <x:v>0.1885840860280432</x:v>
      </x:c>
      <x:c r="M6" s="18" t="n">
        <x:v>-0.3219200248456195</x:v>
      </x:c>
      <x:c r="N6" s="18" t="n">
        <x:v>-0.1862098008776629</x:v>
      </x:c>
      <x:c r="O6" s="18" t="n">
        <x:v>-0.0764690352480976</x:v>
      </x:c>
      <x:c r="P6" s="22" t="n">
        <x:v>-0.0062522360625</x:v>
      </x:c>
      <x:c r="Q6" s="18" t="n">
        <x:v>0</x:v>
      </x:c>
      <x:c r="R6" s="22" t="n">
        <x:v>3.6229152167709533e-7</x:v>
      </x:c>
      <x:c r="S6" s="18" t="n">
        <x:v>0.0398077399467723</x:v>
      </x:c>
      <x:c r="T6" s="18" t="n">
        <x:v>-0.0461840073844602</x:v>
      </x:c>
    </x:row>
    <x:row r="7">
      <x:c r="A7" s="18" t="str">
        <x:v>Z_ref_lt_0.5</x:v>
      </x:c>
      <x:c r="B7" s="18" t="str">
        <x:v>Raytraverse Balanced</x:v>
      </x:c>
      <x:c r="C7" s="21" t="n">
        <x:v>31930</x:v>
      </x:c>
      <x:c r="D7" s="22" t="n">
        <x:v>0.9856257990714614</x:v>
      </x:c>
      <x:c r="E7" s="22" t="n">
        <x:v>0.003607313845942</x:v>
      </x:c>
      <x:c r="F7" s="22" t="n">
        <x:v>0.4647508329029443</x:v>
      </x:c>
      <x:c r="G7" s="22" t="n">
        <x:v>0.0318810439315061</x:v>
      </x:c>
      <x:c r="H7" s="22" t="n">
        <x:v>0.1579141207194125</x:v>
      </x:c>
      <x:c r="I7" s="22" t="n">
        <x:v>0.0017880867928592</x:v>
      </x:c>
      <x:c r="J7" s="22" t="n">
        <x:v>0.6378585938201093</x:v>
      </x:c>
      <x:c r="K7" s="22" t="n">
        <x:v>0.0027590892282546</x:v>
      </x:c>
      <x:c r="L7" s="22" t="n">
        <x:v>0.1169140827915806</x:v>
      </x:c>
      <x:c r="M7" s="18" t="n">
        <x:v>-0.2089358377108896</x:v>
      </x:c>
      <x:c r="N7" s="18" t="n">
        <x:v>-0.0866935678940746</x:v>
      </x:c>
      <x:c r="O7" s="18" t="n">
        <x:v>-0.005654212477197</x:v>
      </x:c>
      <x:c r="P7" s="22" t="n">
        <x:v>-1.2720869572085716e-7</x:v>
      </x:c>
      <x:c r="Q7" s="18" t="n">
        <x:v>4.664494016467191e-8</x:v>
      </x:c>
      <x:c r="R7" s="22" t="n">
        <x:v>0.0631869321855824</x:v>
      </x:c>
      <x:c r="S7" s="18" t="n">
        <x:v>0.1630977033048802</x:v>
      </x:c>
      <x:c r="T7" s="18" t="n">
        <x:v>0.0017880867928592</x:v>
      </x:c>
    </x:row>
    <x:row r="8">
      <x:c r="A8" s="18" t="str">
        <x:v>Z_ref_ge_0.5</x:v>
      </x:c>
      <x:c r="B8" s="18" t="str">
        <x:v>EIGCM (MF1)</x:v>
      </x:c>
      <x:c r="C8" s="21" t="n">
        <x:v>1554</x:v>
      </x:c>
      <x:c r="D8" s="22" t="n">
        <x:v>1.0671342474526024</x:v>
      </x:c>
      <x:c r="E8" s="22" t="n">
        <x:v>-0.1388215983008378</x:v>
      </x:c>
      <x:c r="F8" s="22" t="n">
        <x:v>0.8841419910306303</x:v>
      </x:c>
      <x:c r="G8" s="22" t="n">
        <x:v>0.278170095406733</x:v>
      </x:c>
      <x:c r="H8" s="22" t="n">
        <x:v>0.4619872101628276</x:v>
      </x:c>
      <x:c r="I8" s="22" t="n">
        <x:v>-0.026804419124702</x:v>
      </x:c>
      <x:c r="J8" s="22" t="n">
        <x:v>0.9325977210325568</x:v>
      </x:c>
      <x:c r="K8" s="22" t="n">
        <x:v>0.2067368198999997</x:v>
      </x:c>
      <x:c r="L8" s="22" t="n">
        <x:v>0.7025643286046742</x:v>
      </x:c>
      <x:c r="M8" s="18" t="n">
        <x:v>-2.36891207958438</x:v>
      </x:c>
      <x:c r="N8" s="18" t="n">
        <x:v>-0.5945168371247281</x:v>
      </x:c>
      <x:c r="O8" s="18" t="n">
        <x:v>-0.2333795219309783</x:v>
      </x:c>
      <x:c r="P8" s="22" t="n">
        <x:v>0.086571131405435</x:v>
      </x:c>
      <x:c r="Q8" s="18" t="n">
        <x:v>0.1875331789763591</x:v>
      </x:c>
      <x:c r="R8" s="22" t="n">
        <x:v>0.4816131547338033</x:v>
      </x:c>
      <x:c r="S8" s="18" t="n">
        <x:v>0.6858635420983042</x:v>
      </x:c>
      <x:c r="T8" s="18" t="n">
        <x:v>-0.026804419124702</x:v>
      </x:c>
    </x:row>
    <x:row r="9">
      <x:c r="A9" s="18" t="str">
        <x:v>Z_ref_ge_0.5</x:v>
      </x:c>
      <x:c r="B9" s="18" t="str">
        <x:v>Raytraverse Balanced</x:v>
      </x:c>
      <x:c r="C9" s="21" t="n">
        <x:v>1554</x:v>
      </x:c>
      <x:c r="D9" s="22" t="n">
        <x:v>0.7711943767520394</x:v>
      </x:c>
      <x:c r="E9" s="22" t="n">
        <x:v>0.2504658817049992</x:v>
      </x:c>
      <x:c r="F9" s="22" t="n">
        <x:v>0.5162965659426313</x:v>
      </x:c>
      <x:c r="G9" s="22" t="n">
        <x:v>0.4540416824489683</x:v>
      </x:c>
      <x:c r="H9" s="22" t="n">
        <x:v>0.9277127804543912</x:v>
      </x:c>
      <x:c r="I9" s="22" t="n">
        <x:v>-0.1313088676726496</x:v>
      </x:c>
      <x:c r="J9" s="22" t="n">
        <x:v>0.7126180782708706</x:v>
      </x:c>
      <x:c r="K9" s="22" t="n">
        <x:v>0.1459713893014695</x:v>
      </x:c>
      <x:c r="L9" s="22" t="n">
        <x:v>2.7877755613510216</x:v>
      </x:c>
      <x:c r="M9" s="18" t="n">
        <x:v>-3.477485569818101</x:v>
      </x:c>
      <x:c r="N9" s="18" t="n">
        <x:v>-2.666339816173283</x:v>
      </x:c>
      <x:c r="O9" s="18" t="n">
        <x:v>-0.1280517415019982</x:v>
      </x:c>
      <x:c r="P9" s="22" t="n">
        <x:v>0.0550496209785683</x:v>
      </x:c>
      <x:c r="Q9" s="18" t="n">
        <x:v>0.1559160286505863</x:v>
      </x:c>
      <x:c r="R9" s="22" t="n">
        <x:v>0.6948416590964525</x:v>
      </x:c>
      <x:c r="S9" s="18" t="n">
        <x:v>1.8813669249058207</x:v>
      </x:c>
      <x:c r="T9" s="18" t="n">
        <x:v>-0.1313088676726496</x:v>
      </x:c>
    </x:row>
    <x:row r="12" ht="22" customHeight="1">
      <x:c r="A12" s="6" t="str">
        <x:v>Solar-sampling analysis outputs (Fig. 15)</x:v>
      </x:c>
      <x:c r="B12" s="6"/>
      <x:c r="C12" s="6"/>
      <x:c r="D12" s="6"/>
      <x:c r="E12" s="6"/>
      <x:c r="F12" s="6"/>
      <x:c r="G12" s="6"/>
      <x:c r="H12" s="6"/>
      <x:c r="I12" s="6"/>
      <x:c r="J12" s="6"/>
      <x:c r="K12" s="6"/>
    </x:row>
    <x:row r="13" ht="42" customHeight="1">
      <x:c r="A13" s="14" t="str">
        <x:v>configuration</x:v>
      </x:c>
      <x:c r="B13" s="14" t="str">
        <x:v>subset</x:v>
      </x:c>
      <x:c r="C13" s="14" t="str">
        <x:v>quantity</x:v>
      </x:c>
      <x:c r="D13" s="14" t="str">
        <x:v>n</x:v>
      </x:c>
      <x:c r="E13" s="14" t="str">
        <x:v>slope</x:v>
      </x:c>
      <x:c r="F13" s="14" t="str">
        <x:v>intercept</x:v>
      </x:c>
      <x:c r="G13" s="14" t="str">
        <x:v>r2</x:v>
      </x:c>
      <x:c r="H13" s="14" t="str">
        <x:v>mae</x:v>
      </x:c>
      <x:c r="I13" s="14" t="str">
        <x:v>rmse</x:v>
      </x:c>
      <x:c r="J13" s="14" t="str">
        <x:v>mbe</x:v>
      </x:c>
      <x:c r="K13" s="14" t="str">
        <x:v>ccc</x:v>
      </x:c>
    </x:row>
    <x:row r="14">
      <x:c r="A14" s="18" t="str">
        <x:v>baseline_sunres9_srcnlev2</x:v>
      </x:c>
      <x:c r="B14" s="18" t="str">
        <x:v>all</x:v>
      </x:c>
      <x:c r="C14" s="18" t="str">
        <x:v>DGP</x:v>
      </x:c>
      <x:c r="D14" s="21" t="n">
        <x:v>4376</x:v>
      </x:c>
      <x:c r="E14" s="22" t="n">
        <x:v>0.967024763209786</x:v>
      </x:c>
      <x:c r="F14" s="22" t="n">
        <x:v>0.00897559195186</x:v>
      </x:c>
      <x:c r="G14" s="22" t="n">
        <x:v>0.9793625284981012</x:v>
      </x:c>
      <x:c r="H14" s="22" t="n">
        <x:v>0.0165931882827601</x:v>
      </x:c>
      <x:c r="I14" s="22" t="n">
        <x:v>0.0307935977634935</x:v>
      </x:c>
      <x:c r="J14" s="22" t="n">
        <x:v>-0.0030759523934197</x:v>
      </x:c>
      <x:c r="K14" s="22" t="n">
        <x:v>0.989257339545839</x:v>
      </x:c>
    </x:row>
    <x:row r="15">
      <x:c r="A15" s="18" t="str">
        <x:v>baseline_sunres9_srcnlev2</x:v>
      </x:c>
      <x:c r="B15" s="18" t="str">
        <x:v>all</x:v>
      </x:c>
      <x:c r="C15" s="18" t="str">
        <x:v>Ev_lx</x:v>
      </x:c>
      <x:c r="D15" s="21" t="n">
        <x:v>4376</x:v>
      </x:c>
      <x:c r="E15" s="22" t="n">
        <x:v>0.9480777868564636</x:v>
      </x:c>
      <x:c r="F15" s="22" t="n">
        <x:v>55.76635001154834</x:v>
      </x:c>
      <x:c r="G15" s="22" t="n">
        <x:v>0.9790938393317644</x:v>
      </x:c>
      <x:c r="H15" s="22" t="n">
        <x:v>248.74030231186623</x:v>
      </x:c>
      <x:c r="I15" s="22" t="n">
        <x:v>530.9570394109663</x:v>
      </x:c>
      <x:c r="J15" s="22" t="n">
        <x:v>-111.34376336462294</x:v>
      </x:c>
      <x:c r="K15" s="22" t="n">
        <x:v>0.988069340481642</x:v>
      </x:c>
    </x:row>
    <x:row r="16">
      <x:c r="A16" s="18" t="str">
        <x:v>baseline_sunres9_srcnlev2</x:v>
      </x:c>
      <x:c r="B16" s="18" t="str">
        <x:v>reference_dgp_ge_0.45</x:v>
      </x:c>
      <x:c r="C16" s="18" t="str">
        <x:v>DGP</x:v>
      </x:c>
      <x:c r="D16" s="21" t="n">
        <x:v>968</x:v>
      </x:c>
      <x:c r="E16" s="22" t="n">
        <x:v>1.0014687274792586</x:v>
      </x:c>
      <x:c r="F16" s="22" t="n">
        <x:v>-0.021803273386672</x:v>
      </x:c>
      <x:c r="G16" s="22" t="n">
        <x:v>0.9063127993270308</x:v>
      </x:c>
      <x:c r="H16" s="22" t="n">
        <x:v>0.0436665854531061</x:v>
      </x:c>
      <x:c r="I16" s="22" t="n">
        <x:v>0.060725354887781</x:v>
      </x:c>
      <x:c r="J16" s="22" t="n">
        <x:v>-0.0207687212625086</x:v>
      </x:c>
      <x:c r="K16" s="22" t="n">
        <x:v>0.9446262683947474</x:v>
      </x:c>
    </x:row>
    <x:row r="17">
      <x:c r="A17" s="18" t="str">
        <x:v>baseline_sunres9_srcnlev2</x:v>
      </x:c>
      <x:c r="B17" s="18" t="str">
        <x:v>reference_dgp_ge_0.45</x:v>
      </x:c>
      <x:c r="C17" s="18" t="str">
        <x:v>Ev_lx</x:v>
      </x:c>
      <x:c r="D17" s="21" t="n">
        <x:v>968</x:v>
      </x:c>
      <x:c r="E17" s="22" t="n">
        <x:v>0.9850365671836764</x:v>
      </x:c>
      <x:c r="F17" s="22" t="n">
        <x:v>-361.1264589691429</x:v>
      </x:c>
      <x:c r="G17" s="22" t="n">
        <x:v>0.9172811554853644</x:v>
      </x:c>
      <x:c r="H17" s="22" t="n">
        <x:v>824.3027975903409</x:v>
      </x:c>
      <x:c r="I17" s="22" t="n">
        <x:v>1085.277485014912</x:v>
      </x:c>
      <x:c r="J17" s="22" t="n">
        <x:v>-491.6091305765235</x:v>
      </x:c>
      <x:c r="K17" s="22" t="n">
        <x:v>0.9469484813946502</x:v>
      </x:c>
    </x:row>
    <x:row r="18">
      <x:c r="A18" s="18" t="str">
        <x:v>baseline_sunres9_srcnlev2</x:v>
      </x:c>
      <x:c r="B18" s="18" t="str">
        <x:v>valid_contrast</x:v>
      </x:c>
      <x:c r="C18" s="18" t="str">
        <x:v>Z</x:v>
      </x:c>
      <x:c r="D18" s="21" t="n">
        <x:v>3314</x:v>
      </x:c>
      <x:c r="E18" s="22" t="n">
        <x:v>1.0780612256335826</x:v>
      </x:c>
      <x:c r="F18" s="22" t="n">
        <x:v>0.0200305633221726</x:v>
      </x:c>
      <x:c r="G18" s="22" t="n">
        <x:v>0.8884204391237596</x:v>
      </x:c>
      <x:c r="H18" s="22" t="n">
        <x:v>0.0859063783550076</x:v>
      </x:c>
      <x:c r="I18" s="22" t="n">
        <x:v>0.1110742851151081</x:v>
      </x:c>
      <x:c r="J18" s="22" t="n">
        <x:v>0.0404589394074419</x:v>
      </x:c>
      <x:c r="K18" s="22" t="n">
        <x:v>0.9248013491924428</x:v>
      </x:c>
    </x:row>
    <x:row r="19">
      <x:c r="A19" s="18" t="str">
        <x:v>dense_sunres18_srcnlev3_full_rerun</x:v>
      </x:c>
      <x:c r="B19" s="18" t="str">
        <x:v>all</x:v>
      </x:c>
      <x:c r="C19" s="18" t="str">
        <x:v>DGP</x:v>
      </x:c>
      <x:c r="D19" s="21" t="n">
        <x:v>4376</x:v>
      </x:c>
      <x:c r="E19" s="22" t="n">
        <x:v>0.9397622909015476</x:v>
      </x:c>
      <x:c r="F19" s="22" t="n">
        <x:v>0.0146936075000107</x:v>
      </x:c>
      <x:c r="G19" s="22" t="n">
        <x:v>0.9860254809576106</x:v>
      </x:c>
      <x:c r="H19" s="22" t="n">
        <x:v>0.0150353904650354</x:v>
      </x:c>
      <x:c r="I19" s="22" t="n">
        <x:v>0.0279740446760372</x:v>
      </x:c>
      <x:c r="J19" s="22" t="n">
        <x:v>-0.007321622506571</x:v>
      </x:c>
      <x:c r="K19" s="22" t="n">
        <x:v>0.9908625455582196</x:v>
      </x:c>
    </x:row>
    <x:row r="20">
      <x:c r="A20" s="18" t="str">
        <x:v>dense_sunres18_srcnlev3_full_rerun</x:v>
      </x:c>
      <x:c r="B20" s="18" t="str">
        <x:v>all</x:v>
      </x:c>
      <x:c r="C20" s="18" t="str">
        <x:v>Ev_lx</x:v>
      </x:c>
      <x:c r="D20" s="21" t="n">
        <x:v>4376</x:v>
      </x:c>
      <x:c r="E20" s="22" t="n">
        <x:v>0.91061720957245</x:v>
      </x:c>
      <x:c r="F20" s="22" t="n">
        <x:v>101.73382940787326</x:v>
      </x:c>
      <x:c r="G20" s="22" t="n">
        <x:v>0.9891135378793368</x:v>
      </x:c>
      <x:c r="H20" s="22" t="n">
        <x:v>231.7160027808564</x:v>
      </x:c>
      <x:c r="I20" s="22" t="n">
        <x:v>495.3029985719879</x:v>
      </x:c>
      <x:c r="J20" s="22" t="n">
        <x:v>-185.94204836980396</x:v>
      </x:c>
      <x:c r="K20" s="22" t="n">
        <x:v>0.9891786109422324</x:v>
      </x:c>
    </x:row>
    <x:row r="21">
      <x:c r="A21" s="18" t="str">
        <x:v>dense_sunres18_srcnlev3_full_rerun</x:v>
      </x:c>
      <x:c r="B21" s="18" t="str">
        <x:v>reference_dgp_ge_0.45</x:v>
      </x:c>
      <x:c r="C21" s="18" t="str">
        <x:v>DGP</x:v>
      </x:c>
      <x:c r="D21" s="21" t="n">
        <x:v>968</x:v>
      </x:c>
      <x:c r="E21" s="22" t="n">
        <x:v>0.9410779097610862</x:v>
      </x:c>
      <x:c r="F21" s="22" t="n">
        <x:v>0.009205994267041</x:v>
      </x:c>
      <x:c r="G21" s="22" t="n">
        <x:v>0.9350024746779264</x:v>
      </x:c>
      <x:c r="H21" s="22" t="n">
        <x:v>0.0407443082732881</x:v>
      </x:c>
      <x:c r="I21" s="22" t="n">
        <x:v>0.0555498520454867</x:v>
      </x:c>
      <x:c r="J21" s="22" t="n">
        <x:v>-0.0322979433099763</x:v>
      </x:c>
      <x:c r="K21" s="22" t="n">
        <x:v>0.9503884901721243</x:v>
      </x:c>
    </x:row>
    <x:row r="22">
      <x:c r="A22" s="18" t="str">
        <x:v>dense_sunres18_srcnlev3_full_rerun</x:v>
      </x:c>
      <x:c r="B22" s="18" t="str">
        <x:v>reference_dgp_ge_0.45</x:v>
      </x:c>
      <x:c r="C22" s="18" t="str">
        <x:v>Ev_lx</x:v>
      </x:c>
      <x:c r="D22" s="21" t="n">
        <x:v>968</x:v>
      </x:c>
      <x:c r="E22" s="22" t="n">
        <x:v>0.9110671218391284</x:v>
      </x:c>
      <x:c r="F22" s="22" t="n">
        <x:v>43.40468215948463</x:v>
      </x:c>
      <x:c r="G22" s="22" t="n">
        <x:v>0.9557364388289852</x:v>
      </x:c>
      <x:c r="H22" s="22" t="n">
        <x:v>811.3265383314878</x:v>
      </x:c>
      <x:c r="I22" s="22" t="n">
        <x:v>1015.1895929748536</x:v>
      </x:c>
      <x:c r="J22" s="22" t="n">
        <x:v>-732.0991529969208</x:v>
      </x:c>
      <x:c r="K22" s="22" t="n">
        <x:v>0.9496664821704072</x:v>
      </x:c>
    </x:row>
    <x:row r="23">
      <x:c r="A23" s="18" t="str">
        <x:v>dense_sunres18_srcnlev3_full_rerun</x:v>
      </x:c>
      <x:c r="B23" s="18" t="str">
        <x:v>valid_contrast</x:v>
      </x:c>
      <x:c r="C23" s="18" t="str">
        <x:v>Z</x:v>
      </x:c>
      <x:c r="D23" s="21" t="n">
        <x:v>3332</x:v>
      </x:c>
      <x:c r="E23" s="22" t="n">
        <x:v>1.0914658937292916</x:v>
      </x:c>
      <x:c r="F23" s="22" t="n">
        <x:v>0.006232748509843</x:v>
      </x:c>
      <x:c r="G23" s="22" t="n">
        <x:v>0.9006793694753517</x:v>
      </x:c>
      <x:c r="H23" s="22" t="n">
        <x:v>0.0811869247070387</x:v>
      </x:c>
      <x:c r="I23" s="22" t="n">
        <x:v>0.1035743067254963</x:v>
      </x:c>
      <x:c r="J23" s="22" t="n">
        <x:v>0.0302268205822515</x:v>
      </x:c>
      <x:c r="K23" s="22" t="n">
        <x:v>0.934604355518095</x:v>
      </x:c>
    </x:row>
    <x:row r="24">
      <x:c r="A24" s="18" t="str">
        <x:v>dense_sunres18_srcnlev3_baseline_sky</x:v>
      </x:c>
      <x:c r="B24" s="18" t="str">
        <x:v>all</x:v>
      </x:c>
      <x:c r="C24" s="18" t="str">
        <x:v>DGP</x:v>
      </x:c>
      <x:c r="D24" s="21" t="n">
        <x:v>4376</x:v>
      </x:c>
      <x:c r="E24" s="22" t="n">
        <x:v>0.9413469597753004</x:v>
      </x:c>
      <x:c r="F24" s="22" t="n">
        <x:v>0.0164392932663632</x:v>
      </x:c>
      <x:c r="G24" s="22" t="n">
        <x:v>0.9856229140614788</x:v>
      </x:c>
      <x:c r="H24" s="22" t="n">
        <x:v>0.0154654928890877</x:v>
      </x:c>
      <x:c r="I24" s="22" t="n">
        <x:v>0.0276384266285306</x:v>
      </x:c>
      <x:c r="J24" s="22" t="n">
        <x:v>-0.0049967837434982</x:v>
      </x:c>
      <x:c r="K24" s="22" t="n">
        <x:v>0.9910934235290844</x:v>
      </x:c>
    </x:row>
    <x:row r="25">
      <x:c r="A25" s="18" t="str">
        <x:v>dense_sunres18_srcnlev3_baseline_sky</x:v>
      </x:c>
      <x:c r="B25" s="18" t="str">
        <x:v>all</x:v>
      </x:c>
      <x:c r="C25" s="18" t="str">
        <x:v>Ev_lx</x:v>
      </x:c>
      <x:c r="D25" s="21" t="n">
        <x:v>4376</x:v>
      </x:c>
      <x:c r="E25" s="22" t="n">
        <x:v>0.9142863892794924</x:v>
      </x:c>
      <x:c r="F25" s="22" t="n">
        <x:v>121.996315221218</x:v>
      </x:c>
      <x:c r="G25" s="22" t="n">
        <x:v>0.9887197647649484</x:v>
      </x:c>
      <x:c r="H25" s="22" t="n">
        <x:v>235.65244415333763</x:v>
      </x:c>
      <x:c r="I25" s="22" t="n">
        <x:v>481.21497286470327</x:v>
      </x:c>
      <x:c r="J25" s="22" t="n">
        <x:v>-153.87041576322954</x:v>
      </x:c>
      <x:c r="K25" s="22" t="n">
        <x:v>0.989819844792446</x:v>
      </x:c>
    </x:row>
    <x:row r="26">
      <x:c r="A26" s="18" t="str">
        <x:v>dense_sunres18_srcnlev3_baseline_sky</x:v>
      </x:c>
      <x:c r="B26" s="18" t="str">
        <x:v>reference_dgp_ge_0.45</x:v>
      </x:c>
      <x:c r="C26" s="18" t="str">
        <x:v>DGP</x:v>
      </x:c>
      <x:c r="D26" s="21" t="n">
        <x:v>968</x:v>
      </x:c>
      <x:c r="E26" s="22" t="n">
        <x:v>0.9367266718143096</x:v>
      </x:c>
      <x:c r="F26" s="22" t="n">
        <x:v>0.0147047783538521</x:v>
      </x:c>
      <x:c r="G26" s="22" t="n">
        <x:v>0.9356704628840308</x:v>
      </x:c>
      <x:c r="H26" s="22" t="n">
        <x:v>0.0394120695532365</x:v>
      </x:c>
      <x:c r="I26" s="22" t="n">
        <x:v>0.0539658424842641</x:v>
      </x:c>
      <x:c r="J26" s="22" t="n">
        <x:v>-0.029864113426139</x:v>
      </x:c>
      <x:c r="K26" s="22" t="n">
        <x:v>0.952838731175184</x:v>
      </x:c>
    </x:row>
    <x:row r="27">
      <x:c r="A27" s="18" t="str">
        <x:v>dense_sunres18_srcnlev3_baseline_sky</x:v>
      </x:c>
      <x:c r="B27" s="18" t="str">
        <x:v>reference_dgp_ge_0.45</x:v>
      </x:c>
      <x:c r="C27" s="18" t="str">
        <x:v>Ev_lx</x:v>
      </x:c>
      <x:c r="D27" s="21" t="n">
        <x:v>968</x:v>
      </x:c>
      <x:c r="E27" s="22" t="n">
        <x:v>0.912711759766729</x:v>
      </x:c>
      <x:c r="F27" s="22" t="n">
        <x:v>74.14241151716021</x:v>
      </x:c>
      <x:c r="G27" s="22" t="n">
        <x:v>0.9556918266295034</x:v>
      </x:c>
      <x:c r="H27" s="22" t="n">
        <x:v>776.9322597958491</x:v>
      </x:c>
      <x:c r="I27" s="22" t="n">
        <x:v>982.5787776336134</x:v>
      </x:c>
      <x:c r="J27" s="22" t="n">
        <x:v>-687.0200119288221</x:v>
      </x:c>
      <x:c r="K27" s="22" t="n">
        <x:v>0.9527789643286472</x:v>
      </x:c>
    </x:row>
    <x:row r="28">
      <x:c r="A28" s="18" t="str">
        <x:v>dense_sunres18_srcnlev3_baseline_sky</x:v>
      </x:c>
      <x:c r="B28" s="18" t="str">
        <x:v>valid_contrast</x:v>
      </x:c>
      <x:c r="C28" s="18" t="str">
        <x:v>Z</x:v>
      </x:c>
      <x:c r="D28" s="21" t="n">
        <x:v>3332</x:v>
      </x:c>
      <x:c r="E28" s="22" t="n">
        <x:v>1.084897658941408</x:v>
      </x:c>
      <x:c r="F28" s="22" t="n">
        <x:v>0.0153120818842827</x:v>
      </x:c>
      <x:c r="G28" s="22" t="n">
        <x:v>0.9034843942998638</x:v>
      </x:c>
      <x:c r="H28" s="22" t="n">
        <x:v>0.0818148837499112</x:v>
      </x:c>
      <x:c r="I28" s="22" t="n">
        <x:v>0.1036795521328175</x:v>
      </x:c>
      <x:c r="J28" s="22" t="n">
        <x:v>0.0375831215512416</x:v>
      </x:c>
      <x:c r="K28" s="22" t="n">
        <x:v>0.9341095621352916</x:v>
      </x:c>
    </x:row>
    <x:row r="31" ht="22" customHeight="1">
      <x:c r="A31" s="6" t="str">
        <x:v>Values reported in Table 5</x:v>
      </x:c>
      <x:c r="B31" s="6"/>
      <x:c r="C31" s="6"/>
      <x:c r="D31" s="6"/>
      <x:c r="E31" s="6"/>
      <x:c r="F31" s="6"/>
    </x:row>
    <x:row r="32" ht="42" customHeight="1">
      <x:c r="A32" s="14" t="str">
        <x:v>Metric</x:v>
      </x:c>
      <x:c r="B32" s="14" t="str">
        <x:v>sunres=9 / srcnlev=2</x:v>
      </x:c>
      <x:c r="C32" s="14" t="str">
        <x:v>sunres=18 / srcnlev=3</x:v>
      </x:c>
      <x:c r="D32" s="14" t="str">
        <x:v>Change</x:v>
      </x:c>
      <x:c r="E32" s="14" t="str">
        <x:v>Baseline scope</x:v>
      </x:c>
      <x:c r="F32" s="14" t="str">
        <x:v>Dense scope</x:v>
      </x:c>
    </x:row>
    <x:row r="33">
      <x:c r="A33" s="18" t="str">
        <x:v>Ev MAE (lx)</x:v>
      </x:c>
      <x:c r="B33" s="18" t="n">
        <x:v>248.74</x:v>
      </x:c>
      <x:c r="C33" s="18" t="n">
        <x:v>235.65</x:v>
      </x:c>
      <x:c r="D33" s="27" t="n">
        <x:f>(B33-C33)/B33</x:f>
        <x:v>0.05262523116507197</x:v>
      </x:c>
      <x:c r="E33" s="18" t="str">
        <x:v>Single view, n=4,376</x:v>
      </x:c>
      <x:c r="F33" s="18" t="str">
        <x:v>Single view, n=4,376</x:v>
      </x:c>
    </x:row>
    <x:row r="34">
      <x:c r="A34" s="18" t="str">
        <x:v>Ev RMSE (lx)</x:v>
      </x:c>
      <x:c r="B34" s="18" t="n">
        <x:v>530.96</x:v>
      </x:c>
      <x:c r="C34" s="18" t="n">
        <x:v>481.21</x:v>
      </x:c>
      <x:c r="D34" s="27" t="n">
        <x:f>(B34-C34)/B34</x:f>
        <x:v>0.09369820702124464</x:v>
      </x:c>
      <x:c r="E34" s="18" t="str">
        <x:v>Single view, n=4,376</x:v>
      </x:c>
      <x:c r="F34" s="18" t="str">
        <x:v>Single view, n=4,376</x:v>
      </x:c>
    </x:row>
    <x:row r="35">
      <x:c r="A35" s="18" t="str">
        <x:v>Ev MBE (lx)</x:v>
      </x:c>
      <x:c r="B35" s="18" t="n">
        <x:v>-111.3</x:v>
      </x:c>
      <x:c r="C35" s="18" t="n">
        <x:v>-153.9</x:v>
      </x:c>
      <x:c r="D35" s="27" t="str">
        <x:v>More negative</x:v>
      </x:c>
      <x:c r="E35" s="18" t="str">
        <x:v>Single view, n=4,376</x:v>
      </x:c>
      <x:c r="F35" s="18" t="str">
        <x:v>Single view, n=4,376</x:v>
      </x:c>
    </x:row>
    <x:row r="36">
      <x:c r="A36" s="18" t="str">
        <x:v>DGP MAE</x:v>
      </x:c>
      <x:c r="B36" s="18" t="n">
        <x:v>0.0156</x:v>
      </x:c>
      <x:c r="C36" s="18" t="n">
        <x:v>0.01547</x:v>
      </x:c>
      <x:c r="D36" s="27" t="n">
        <x:f>(B36-C36)/B36</x:f>
        <x:v>0.008333333333333328</x:v>
      </x:c>
      <x:c r="E36" s="18" t="str">
        <x:v>Pooled two-view, n=8,769</x:v>
      </x:c>
      <x:c r="F36" s="18" t="str">
        <x:v>Single view, n=4,376</x:v>
      </x:c>
    </x:row>
    <x:row r="37">
      <x:c r="A37" s="18" t="str">
        <x:v>DGP RMSE</x:v>
      </x:c>
      <x:c r="B37" s="18" t="n">
        <x:v>0.0353</x:v>
      </x:c>
      <x:c r="C37" s="18" t="n">
        <x:v>0.02764</x:v>
      </x:c>
      <x:c r="D37" s="27" t="n">
        <x:f>(B37-C37)/B37</x:f>
        <x:v>0.21699716713881012</x:v>
      </x:c>
      <x:c r="E37" s="18" t="str">
        <x:v>Pooled two-view, n=8,769</x:v>
      </x:c>
      <x:c r="F37" s="18" t="str">
        <x:v>Single view, n=4,376</x:v>
      </x:c>
    </x:row>
    <x:row r="38">
      <x:c r="A38" s="18" t="str">
        <x:v>DGP R2</x:v>
      </x:c>
      <x:c r="B38" s="18" t="n">
        <x:v>0.976</x:v>
      </x:c>
      <x:c r="C38" s="18" t="n">
        <x:v>0.986</x:v>
      </x:c>
      <x:c r="D38" s="27" t="str">
        <x:v>Higher</x:v>
      </x:c>
      <x:c r="E38" s="18" t="str">
        <x:v>Pooled two-view, n=8,769</x:v>
      </x:c>
      <x:c r="F38" s="18" t="str">
        <x:v>Single view, n=4,376</x:v>
      </x:c>
    </x:row>
    <x:row r="39">
      <x:c r="A39" s="18" t="str">
        <x:v>DGP CCC</x:v>
      </x:c>
      <x:c r="B39" s="18" t="n">
        <x:v>0.988</x:v>
      </x:c>
      <x:c r="C39" s="18" t="n">
        <x:v>0.991</x:v>
      </x:c>
      <x:c r="D39" s="27" t="str">
        <x:v>Higher</x:v>
      </x:c>
      <x:c r="E39" s="18" t="str">
        <x:v>Pooled two-view, n=8,769</x:v>
      </x:c>
      <x:c r="F39" s="18" t="str">
        <x:v>Single view, n=4,376</x:v>
      </x:c>
    </x:row>
    <x:row r="41" ht="32" customHeight="1">
      <x:c r="A41" s="30" t="str">
        <x:v>Table 5 mixes a pooled two-view DGP baseline with a single-view dense-sampling result. Recalculate on a common record set or clarify the scopes.</x:v>
      </x:c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</x:row>
    <x:row r="43" ht="22" customHeight="1">
      <x:c r="A43" s="6" t="str">
        <x:v>dcglare saturation-term metrics (Fig. 17a-c)</x:v>
      </x:c>
      <x:c r="B43" s="6"/>
      <x:c r="C43" s="6"/>
      <x:c r="D43" s="6"/>
      <x:c r="E43" s="6"/>
      <x:c r="F43" s="6"/>
      <x:c r="G43" s="6"/>
      <x:c r="H43" s="6"/>
      <x:c r="I43" s="6"/>
    </x:row>
    <x:row r="44" ht="36" customHeight="1">
      <x:c r="A44" s="14" t="str">
        <x:v>case</x:v>
      </x:c>
      <x:c r="B44" s="14" t="str">
        <x:v>n</x:v>
      </x:c>
      <x:c r="C44" s="14" t="str">
        <x:v>slope</x:v>
      </x:c>
      <x:c r="D44" s="14" t="str">
        <x:v>intercept</x:v>
      </x:c>
      <x:c r="E44" s="14" t="str">
        <x:v>R2</x:v>
      </x:c>
      <x:c r="F44" s="14" t="str">
        <x:v>MAE</x:v>
      </x:c>
      <x:c r="G44" s="14" t="str">
        <x:v>RMSE</x:v>
      </x:c>
      <x:c r="H44" s="14" t="str">
        <x:v>MBE</x:v>
      </x:c>
      <x:c r="I44" s="14" t="str">
        <x:v>CCC</x:v>
      </x:c>
    </x:row>
    <x:row r="45">
      <x:c r="A45" s="18" t="str">
        <x:v>C1</x:v>
      </x:c>
      <x:c r="B45" s="21" t="n">
        <x:v>18720</x:v>
      </x:c>
      <x:c r="C45" s="22" t="n">
        <x:v>0.8861960571954657</x:v>
      </x:c>
      <x:c r="D45" s="22" t="n">
        <x:v>0.0246076285199416</x:v>
      </x:c>
      <x:c r="E45" s="22" t="n">
        <x:v>0.869456338407851</x:v>
      </x:c>
      <x:c r="F45" s="22" t="n">
        <x:v>0.0193223765764616</x:v>
      </x:c>
      <x:c r="G45" s="22" t="n">
        <x:v>0.0631797070640874</x:v>
      </x:c>
      <x:c r="H45" s="22" t="n">
        <x:v>-0.0060665565002828</x:v>
      </x:c>
      <x:c r="I45" s="22" t="n">
        <x:v>0.930645611077246</x:v>
      </x:c>
    </x:row>
    <x:row r="46">
      <x:c r="A46" s="18" t="str">
        <x:v>C2</x:v>
      </x:c>
      <x:c r="B46" s="21" t="n">
        <x:v>18720</x:v>
      </x:c>
      <x:c r="C46" s="22" t="n">
        <x:v>0.9740110543027716</x:v>
      </x:c>
      <x:c r="D46" s="22" t="n">
        <x:v>0.0009177835461026</x:v>
      </x:c>
      <x:c r="E46" s="22" t="n">
        <x:v>0.9917486348203428</x:v>
      </x:c>
      <x:c r="F46" s="22" t="n">
        <x:v>0.0106534455929129</x:v>
      </x:c>
      <x:c r="G46" s="22" t="n">
        <x:v>0.0202161884132918</x:v>
      </x:c>
      <x:c r="H46" s="22" t="n">
        <x:v>-0.0072381275059215</x:v>
      </x:c>
      <x:c r="I46" s="22" t="n">
        <x:v>0.9949799428009852</x:v>
      </x:c>
    </x:row>
    <x:row r="47">
      <x:c r="A47" s="18" t="str">
        <x:v>C4</x:v>
      </x:c>
      <x:c r="B47" s="21" t="n">
        <x:v>18720</x:v>
      </x:c>
      <x:c r="C47" s="22" t="n">
        <x:v>0.9017551670467032</x:v>
      </x:c>
      <x:c r="D47" s="22" t="n">
        <x:v>0.0225289213583161</x:v>
      </x:c>
      <x:c r="E47" s="22" t="n">
        <x:v>0.880680376392346</x:v>
      </x:c>
      <x:c r="F47" s="22" t="n">
        <x:v>0.0174418899907552</x:v>
      </x:c>
      <x:c r="G47" s="22" t="n">
        <x:v>0.0581707087891195</x:v>
      </x:c>
      <x:c r="H47" s="22" t="n">
        <x:v>-0.0033607078682905</x:v>
      </x:c>
      <x:c r="I47" s="22" t="n">
        <x:v>0.9375042863258798</x:v>
      </x:c>
    </x:row>
    <x:row r="50" ht="22" customHeight="1">
      <x:c r="A50" s="6" t="str">
        <x:v>Vertical eye illuminance metrics (Fig. 17d)</x:v>
      </x:c>
      <x:c r="B50" s="6"/>
      <x:c r="C50" s="6"/>
      <x:c r="D50" s="6"/>
      <x:c r="E50" s="6"/>
      <x:c r="F50" s="6"/>
      <x:c r="G50" s="6"/>
      <x:c r="H50" s="6"/>
      <x:c r="I50" s="6"/>
      <x:c r="J50" s="6"/>
    </x:row>
    <x:row r="51" ht="38" customHeight="1">
      <x:c r="A51" s="14" t="str">
        <x:v>case</x:v>
      </x:c>
      <x:c r="B51" s="14" t="str">
        <x:v>method</x:v>
      </x:c>
      <x:c r="C51" s="14" t="str">
        <x:v>n</x:v>
      </x:c>
      <x:c r="D51" s="14" t="str">
        <x:v>slope</x:v>
      </x:c>
      <x:c r="E51" s="14" t="str">
        <x:v>intercept_lx</x:v>
      </x:c>
      <x:c r="F51" s="14" t="str">
        <x:v>R2</x:v>
      </x:c>
      <x:c r="G51" s="14" t="str">
        <x:v>MAE_lx</x:v>
      </x:c>
      <x:c r="H51" s="14" t="str">
        <x:v>RMSE_lx</x:v>
      </x:c>
      <x:c r="I51" s="14" t="str">
        <x:v>MBE_lx</x:v>
      </x:c>
      <x:c r="J51" s="14" t="str">
        <x:v>CCC</x:v>
      </x:c>
    </x:row>
    <x:row r="52">
      <x:c r="A52" s="18" t="str">
        <x:v>C1</x:v>
      </x:c>
      <x:c r="B52" s="18" t="str">
        <x:v>Jones dcglare</x:v>
      </x:c>
      <x:c r="C52" s="21" t="n">
        <x:v>18720</x:v>
      </x:c>
      <x:c r="D52" s="22" t="n">
        <x:v>0.8474004425529079</x:v>
      </x:c>
      <x:c r="E52" s="20" t="n">
        <x:v>334.0862067871174</x:v>
      </x:c>
      <x:c r="F52" s="22" t="n">
        <x:v>0.9120604064445026</x:v>
      </x:c>
      <x:c r="G52" s="20" t="n">
        <x:v>325.86302519885254</x:v>
      </x:c>
      <x:c r="H52" s="20" t="n">
        <x:v>1418.2338436080497</x:v>
      </x:c>
      <x:c r="I52" s="20" t="n">
        <x:v>36.82988182103312</x:v>
      </x:c>
      <x:c r="J52" s="22" t="n">
        <x:v>0.9482003264280556</x:v>
      </x:c>
    </x:row>
    <x:row r="53">
      <x:c r="A53" s="18" t="str">
        <x:v>C1</x:v>
      </x:c>
      <x:c r="B53" s="18" t="str">
        <x:v>Raytraverse Balanced</x:v>
      </x:c>
      <x:c r="C53" s="21" t="n">
        <x:v>18720</x:v>
      </x:c>
      <x:c r="D53" s="22" t="n">
        <x:v>0.8645152824979181</x:v>
      </x:c>
      <x:c r="E53" s="20" t="n">
        <x:v>260.6711193592112</x:v>
      </x:c>
      <x:c r="F53" s="22" t="n">
        <x:v>0.6641899999597302</x:v>
      </x:c>
      <x:c r="G53" s="20" t="n">
        <x:v>546.4157455963739</x:v>
      </x:c>
      <x:c r="H53" s="20" t="n">
        <x:v>2933.9240646306835</x:v>
      </x:c>
      <x:c r="I53" s="20" t="n">
        <x:v>-3.246351225200866</x:v>
      </x:c>
      <x:c r="J53" s="22" t="n">
        <x:v>0.8135615799074869</x:v>
      </x:c>
    </x:row>
    <x:row r="54">
      <x:c r="A54" s="18" t="str">
        <x:v>C2</x:v>
      </x:c>
      <x:c r="B54" s="18" t="str">
        <x:v>Jones dcglare</x:v>
      </x:c>
      <x:c r="C54" s="21" t="n">
        <x:v>18720</x:v>
      </x:c>
      <x:c r="D54" s="22" t="n">
        <x:v>1.015003516448842</x:v>
      </x:c>
      <x:c r="E54" s="20" t="n">
        <x:v>14.536746851093032</x:v>
      </x:c>
      <x:c r="F54" s="22" t="n">
        <x:v>0.9964170891650566</x:v>
      </x:c>
      <x:c r="G54" s="20" t="n">
        <x:v>108.78539379128684</x:v>
      </x:c>
      <x:c r="H54" s="20" t="n">
        <x:v>292.38465357166046</x:v>
      </x:c>
      <x:c r="I54" s="20" t="n">
        <x:v>55.1535477662922</x:v>
      </x:c>
      <x:c r="J54" s="22" t="n">
        <x:v>0.9979968390224976</x:v>
      </x:c>
    </x:row>
    <x:row r="55">
      <x:c r="A55" s="18" t="str">
        <x:v>C2</x:v>
      </x:c>
      <x:c r="B55" s="18" t="str">
        <x:v>Raytraverse Balanced</x:v>
      </x:c>
      <x:c r="C55" s="21" t="n">
        <x:v>18720</x:v>
      </x:c>
      <x:c r="D55" s="22" t="n">
        <x:v>0.8484909537568374</x:v>
      </x:c>
      <x:c r="E55" s="20" t="n">
        <x:v>143.20745981187068</x:v>
      </x:c>
      <x:c r="F55" s="22" t="n">
        <x:v>0.8744391574171556</x:v>
      </x:c>
      <x:c r="G55" s="20" t="n">
        <x:v>524.7278054599899</x:v>
      </x:c>
      <x:c r="H55" s="20" t="n">
        <x:v>1649.7884983493411</x:v>
      </x:c>
      <x:c r="I55" s="20" t="n">
        <x:v>-266.9505714132067</x:v>
      </x:c>
      <x:c r="J55" s="22" t="n">
        <x:v>0.9289830219494826</x:v>
      </x:c>
    </x:row>
    <x:row r="56">
      <x:c r="A56" s="18" t="str">
        <x:v>C4</x:v>
      </x:c>
      <x:c r="B56" s="18" t="str">
        <x:v>Jones dcglare</x:v>
      </x:c>
      <x:c r="C56" s="21" t="n">
        <x:v>18720</x:v>
      </x:c>
      <x:c r="D56" s="22" t="n">
        <x:v>0.869092189105796</x:v>
      </x:c>
      <x:c r="E56" s="20" t="n">
        <x:v>317.24715235474565</x:v>
      </x:c>
      <x:c r="F56" s="22" t="n">
        <x:v>0.9237454926493832</x:v>
      </x:c>
      <x:c r="G56" s="20" t="n">
        <x:v>308.2598870214557</x:v>
      </x:c>
      <x:c r="H56" s="20" t="n">
        <x:v>1264.5005987616712</x:v>
      </x:c>
      <x:c r="I56" s="20" t="n">
        <x:v>76.15424555528152</x:v>
      </x:c>
      <x:c r="J56" s="22" t="n">
        <x:v>0.956117109393464</x:v>
      </x:c>
    </x:row>
    <x:row r="57">
      <x:c r="A57" s="18" t="str">
        <x:v>C4</x:v>
      </x:c>
      <x:c r="B57" s="18" t="str">
        <x:v>Raytraverse Balanced</x:v>
      </x:c>
      <x:c r="C57" s="21" t="n">
        <x:v>18720</x:v>
      </x:c>
      <x:c r="D57" s="22" t="n">
        <x:v>0.8868230707856706</x:v>
      </x:c>
      <x:c r="E57" s="20" t="n">
        <x:v>264.03119395598384</x:v>
      </x:c>
      <x:c r="F57" s="22" t="n">
        <x:v>0.6735353829267778</x:v>
      </x:c>
      <x:c r="G57" s="20" t="n">
        <x:v>513.8507034344995</x:v>
      </x:c>
      <x:c r="H57" s="20" t="n">
        <x:v>2810.7067593594934</x:v>
      </x:c>
      <x:c r="I57" s="20" t="n">
        <x:v>55.593250791754805</x:v>
      </x:c>
      <x:c r="J57" s="22" t="n">
        <x:v>0.8181754768922539</x:v>
      </x:c>
    </x:row>
    <x:row r="59" ht="32" customHeight="1">
      <x:c r="A59" s="30" t="str">
        <x:v>The final local Fig. 17 redrawing script uses synthetic scatter coordinates. Regenerate panels a-c from fig17_saturation_source.csv.</x:v>
      </x:c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</x:row>
  </x:sheetData>
  <x:mergeCells>
    <x:mergeCell ref="A1:M1"/>
    <x:mergeCell ref="A2:M2"/>
    <x:mergeCell ref="A4:T4"/>
    <x:mergeCell ref="A12:K12"/>
    <x:mergeCell ref="A31:F31"/>
    <x:mergeCell ref="A41:M41"/>
    <x:mergeCell ref="A43:I43"/>
    <x:mergeCell ref="A50:J50"/>
    <x:mergeCell ref="A59:M5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5" hidden="0" customWidth="1"/>
    <x:col min="3" max="3" width="17" hidden="0" customWidth="1"/>
    <x:col min="4" max="4" width="55" hidden="0" customWidth="1"/>
    <x:col min="5" max="5" width="20" hidden="0" customWidth="1"/>
    <x:col min="6" max="6" width="14" hidden="0" customWidth="1"/>
    <x:col min="7" max="7" width="22" hidden="0" customWidth="1"/>
    <x:col min="8" max="8" width="20" hidden="0" customWidth="1"/>
  </x:cols>
  <x:sheetData>
    <x:row r="1" ht="28" customHeight="1">
      <x:c r="A1" s="2" t="str">
        <x:v>Computation time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Reported runtimes from Tables 3-4 and Fig. 18</x:v>
      </x:c>
      <x:c r="B2" s="4"/>
      <x:c r="C2" s="4"/>
      <x:c r="D2" s="4"/>
      <x:c r="E2" s="4"/>
      <x:c r="F2" s="4"/>
      <x:c r="G2" s="4"/>
      <x:c r="H2" s="4"/>
    </x:row>
    <x:row r="4" ht="22" customHeight="1">
      <x:c r="A4" s="6" t="str">
        <x:v>Single-view annual simulations (Table 3)</x:v>
      </x:c>
      <x:c r="B4" s="6"/>
      <x:c r="C4" s="6"/>
      <x:c r="D4" s="6"/>
      <x:c r="E4" s="6"/>
      <x:c r="F4" s="6"/>
      <x:c r="G4" s="6"/>
      <x:c r="H4" s="6"/>
    </x:row>
    <x:row r="5" ht="42" customHeight="1">
      <x:c r="A5" s="14" t="str">
        <x:v>case</x:v>
      </x:c>
      <x:c r="B5" s="14" t="str">
        <x:v>viewpoint</x:v>
      </x:c>
      <x:c r="C5" s="14" t="str">
        <x:v>EIGCM_s</x:v>
      </x:c>
      <x:c r="D5" s="14" t="str">
        <x:v>dcglare_s</x:v>
      </x:c>
      <x:c r="E5" s="14" t="str">
        <x:v>RT_Balanced_s</x:v>
      </x:c>
      <x:c r="F5" s="14" t="str">
        <x:v>RT_High_s</x:v>
      </x:c>
      <x:c r="G5" s="14" t="str">
        <x:v>RT Balanced / EIGCM</x:v>
      </x:c>
      <x:c r="H5" s="14" t="str">
        <x:v>RT High / EIGCM</x:v>
      </x:c>
    </x:row>
    <x:row r="6">
      <x:c r="A6" s="18" t="str">
        <x:v>C1</x:v>
      </x:c>
      <x:c r="B6" s="18" t="str">
        <x:v>V1</x:v>
      </x:c>
      <x:c r="C6" s="20" t="n">
        <x:v>8.92</x:v>
      </x:c>
      <x:c r="D6" s="20" t="n">
        <x:v>1.78</x:v>
      </x:c>
      <x:c r="E6" s="20" t="n">
        <x:v>17.16</x:v>
      </x:c>
      <x:c r="F6" s="20" t="n">
        <x:v>147.11</x:v>
      </x:c>
      <x:c r="G6" s="31" t="n">
        <x:f>E6/C6</x:f>
        <x:v>1.9237668161434978</x:v>
      </x:c>
      <x:c r="H6" s="31" t="n">
        <x:f>IF(F6="","",F6/C6)</x:f>
        <x:v>16.492152466367713</x:v>
      </x:c>
    </x:row>
    <x:row r="7">
      <x:c r="A7" s="18" t="str">
        <x:v>C1</x:v>
      </x:c>
      <x:c r="B7" s="18" t="str">
        <x:v>V2</x:v>
      </x:c>
      <x:c r="C7" s="20" t="n">
        <x:v>8.94</x:v>
      </x:c>
      <x:c r="D7" s="20" t="n">
        <x:v>1.73</x:v>
      </x:c>
      <x:c r="E7" s="20" t="n">
        <x:v>19.28</x:v>
      </x:c>
      <x:c r="F7" s="20" t="n">
        <x:v>175.36</x:v>
      </x:c>
      <x:c r="G7" s="31" t="n">
        <x:f>E7/C7</x:f>
        <x:v>2.156599552572707</x:v>
      </x:c>
      <x:c r="H7" s="31" t="n">
        <x:f>IF(F7="","",F7/C7)</x:f>
        <x:v>19.615212527964207</x:v>
      </x:c>
    </x:row>
    <x:row r="8">
      <x:c r="A8" s="18" t="str">
        <x:v>C2</x:v>
      </x:c>
      <x:c r="B8" s="18" t="str">
        <x:v>V1</x:v>
      </x:c>
      <x:c r="C8" s="20" t="n">
        <x:v>64.33</x:v>
      </x:c>
      <x:c r="D8" s="20" t="n">
        <x:v>17.85</x:v>
      </x:c>
      <x:c r="E8" s="20" t="n">
        <x:v>478.9</x:v>
      </x:c>
      <x:c r="F8" s="20"/>
      <x:c r="G8" s="31" t="n">
        <x:f>E8/C8</x:f>
        <x:v>7.444427172392352</x:v>
      </x:c>
      <x:c r="H8" s="31" t="str">
        <x:f>IF(F8="","",F8/C8)</x:f>
      </x:c>
    </x:row>
    <x:row r="9">
      <x:c r="A9" s="18" t="str">
        <x:v>C2</x:v>
      </x:c>
      <x:c r="B9" s="18" t="str">
        <x:v>V2</x:v>
      </x:c>
      <x:c r="C9" s="20" t="n">
        <x:v>77.08</x:v>
      </x:c>
      <x:c r="D9" s="20" t="n">
        <x:v>18.14</x:v>
      </x:c>
      <x:c r="E9" s="20" t="n">
        <x:v>579.43</x:v>
      </x:c>
      <x:c r="F9" s="20"/>
      <x:c r="G9" s="31" t="n">
        <x:f>E9/C9</x:f>
        <x:v>7.517254800207576</x:v>
      </x:c>
      <x:c r="H9" s="31" t="str">
        <x:f>IF(F9="","",F9/C9)</x:f>
      </x:c>
    </x:row>
    <x:row r="10">
      <x:c r="A10" s="18" t="str">
        <x:v>C3</x:v>
      </x:c>
      <x:c r="B10" s="18" t="str">
        <x:v>V1</x:v>
      </x:c>
      <x:c r="C10" s="20" t="n">
        <x:v>14.47</x:v>
      </x:c>
      <x:c r="D10" s="20" t="n">
        <x:v>1.75</x:v>
      </x:c>
      <x:c r="E10" s="20" t="n">
        <x:v>17.35</x:v>
      </x:c>
      <x:c r="F10" s="20" t="n">
        <x:v>47.66</x:v>
      </x:c>
      <x:c r="G10" s="31" t="n">
        <x:f>E10/C10</x:f>
        <x:v>1.1990324809951625</x:v>
      </x:c>
      <x:c r="H10" s="31" t="n">
        <x:f>IF(F10="","",F10/C10)</x:f>
        <x:v>3.2937111264685552</x:v>
      </x:c>
    </x:row>
    <x:row r="11">
      <x:c r="A11" s="18" t="str">
        <x:v>C3</x:v>
      </x:c>
      <x:c r="B11" s="18" t="str">
        <x:v>V2</x:v>
      </x:c>
      <x:c r="C11" s="20" t="n">
        <x:v>13.44</x:v>
      </x:c>
      <x:c r="D11" s="20" t="n">
        <x:v>1.65</x:v>
      </x:c>
      <x:c r="E11" s="20" t="n">
        <x:v>15.7</x:v>
      </x:c>
      <x:c r="F11" s="20" t="n">
        <x:v>45.08</x:v>
      </x:c>
      <x:c r="G11" s="31" t="n">
        <x:f>E11/C11</x:f>
        <x:v>1.1681547619047619</x:v>
      </x:c>
      <x:c r="H11" s="31" t="n">
        <x:f>IF(F11="","",F11/C11)</x:f>
        <x:v>3.3541666666666665</x:v>
      </x:c>
    </x:row>
    <x:row r="12">
      <x:c r="A12" s="18" t="str">
        <x:v>C4</x:v>
      </x:c>
      <x:c r="B12" s="18" t="str">
        <x:v>V1</x:v>
      </x:c>
      <x:c r="C12" s="20" t="n">
        <x:v>13.1</x:v>
      </x:c>
      <x:c r="D12" s="20" t="n">
        <x:v>1.77</x:v>
      </x:c>
      <x:c r="E12" s="20" t="n">
        <x:v>17.4</x:v>
      </x:c>
      <x:c r="F12" s="20" t="n">
        <x:v>128.11</x:v>
      </x:c>
      <x:c r="G12" s="31" t="n">
        <x:f>E12/C12</x:f>
        <x:v>1.3282442748091603</x:v>
      </x:c>
      <x:c r="H12" s="31" t="n">
        <x:f>IF(F12="","",F12/C12)</x:f>
        <x:v>9.7793893129771</x:v>
      </x:c>
    </x:row>
    <x:row r="13">
      <x:c r="A13" s="18" t="str">
        <x:v>C4</x:v>
      </x:c>
      <x:c r="B13" s="18" t="str">
        <x:v>V2</x:v>
      </x:c>
      <x:c r="C13" s="20" t="n">
        <x:v>14.89</x:v>
      </x:c>
      <x:c r="D13" s="20" t="n">
        <x:v>1.95</x:v>
      </x:c>
      <x:c r="E13" s="20" t="n">
        <x:v>18.81</x:v>
      </x:c>
      <x:c r="F13" s="20" t="n">
        <x:v>130.63</x:v>
      </x:c>
      <x:c r="G13" s="31" t="n">
        <x:f>E13/C13</x:f>
        <x:v>1.2632639355271993</x:v>
      </x:c>
      <x:c r="H13" s="31" t="n">
        <x:f>IF(F13="","",F13/C13)</x:f>
        <x:v>8.773002014775017</x:v>
      </x:c>
    </x:row>
    <x:row r="16" ht="22" customHeight="1">
      <x:c r="A16" s="6" t="str">
        <x:v>520-view validation (Table 4)</x:v>
      </x:c>
      <x:c r="B16" s="6"/>
      <x:c r="C16" s="6"/>
      <x:c r="D16" s="6"/>
      <x:c r="E16" s="6"/>
      <x:c r="F16" s="6"/>
      <x:c r="G16" s="6"/>
      <x:c r="H16" s="6"/>
    </x:row>
    <x:row r="17" ht="42" customHeight="1">
      <x:c r="A17" s="14" t="str">
        <x:v>case</x:v>
      </x:c>
      <x:c r="B17" s="14" t="str">
        <x:v>fenestration_system</x:v>
      </x:c>
      <x:c r="C17" s="14" t="str">
        <x:v>EIGCM_s</x:v>
      </x:c>
      <x:c r="D17" s="14" t="str">
        <x:v>dcglare_s</x:v>
      </x:c>
      <x:c r="E17" s="14" t="str">
        <x:v>RT_Balanced_s</x:v>
      </x:c>
      <x:c r="F17" s="14" t="str">
        <x:v>RT_High_s</x:v>
      </x:c>
      <x:c r="G17" s="14" t="str">
        <x:v>RT Balanced / EIGCM</x:v>
      </x:c>
      <x:c r="H17" s="14" t="str">
        <x:v>RT High / EIGCM</x:v>
      </x:c>
    </x:row>
    <x:row r="18">
      <x:c r="A18" s="18" t="str">
        <x:v>C1</x:v>
      </x:c>
      <x:c r="B18" s="18" t="str">
        <x:v>Specular Venetian blinds</x:v>
      </x:c>
      <x:c r="C18" s="20" t="n">
        <x:v>2098.98</x:v>
      </x:c>
      <x:c r="D18" s="20" t="n">
        <x:v>38.27</x:v>
      </x:c>
      <x:c r="E18" s="20" t="n">
        <x:v>4760.07</x:v>
      </x:c>
      <x:c r="F18" s="20" t="n">
        <x:v>31011.51</x:v>
      </x:c>
      <x:c r="G18" s="31" t="n">
        <x:f>E18/C18</x:f>
        <x:v>2.2678015035874566</x:v>
      </x:c>
      <x:c r="H18" s="31" t="n">
        <x:f>IF(F18="","",F18/C18)</x:f>
        <x:v>14.774561930080324</x:v>
      </x:c>
    </x:row>
    <x:row r="19">
      <x:c r="A19" s="18" t="str">
        <x:v>C2</x:v>
      </x:c>
      <x:c r="B19" s="18" t="str">
        <x:v>PDRF</x:v>
      </x:c>
      <x:c r="C19" s="20" t="n">
        <x:v>1557.62</x:v>
      </x:c>
      <x:c r="D19" s="20" t="n">
        <x:v>700.4</x:v>
      </x:c>
      <x:c r="E19" s="20" t="n">
        <x:v>17733.97</x:v>
      </x:c>
      <x:c r="F19" s="20"/>
      <x:c r="G19" s="31" t="n">
        <x:f>E19/C19</x:f>
        <x:v>11.385299366982963</x:v>
      </x:c>
      <x:c r="H19" s="31" t="str">
        <x:f>IF(F19="","",F19/C19)</x:f>
      </x:c>
    </x:row>
    <x:row r="20">
      <x:c r="A20" s="18" t="str">
        <x:v>C3</x:v>
      </x:c>
      <x:c r="B20" s="18" t="str">
        <x:v>Electrochromic glazing</x:v>
      </x:c>
      <x:c r="C20" s="20" t="n">
        <x:v>1855.76</x:v>
      </x:c>
      <x:c r="D20" s="20" t="n">
        <x:v>31.51</x:v>
      </x:c>
      <x:c r="E20" s="20" t="n">
        <x:v>2502.86</x:v>
      </x:c>
      <x:c r="F20" s="20" t="n">
        <x:v>7203.73</x:v>
      </x:c>
      <x:c r="G20" s="31" t="n">
        <x:f>E20/C20</x:f>
        <x:v>1.3486981075139028</x:v>
      </x:c>
      <x:c r="H20" s="31" t="n">
        <x:f>IF(F20="","",F20/C20)</x:f>
        <x:v>3.8818220028451953</x:v>
      </x:c>
    </x:row>
    <x:row r="21">
      <x:c r="A21" s="18" t="str">
        <x:v>C4</x:v>
      </x:c>
      <x:c r="B21" s="18" t="str">
        <x:v>Frosted glazing and specular blinds</x:v>
      </x:c>
      <x:c r="C21" s="20" t="n">
        <x:v>2564.07</x:v>
      </x:c>
      <x:c r="D21" s="20" t="n">
        <x:v>51.75</x:v>
      </x:c>
      <x:c r="E21" s="20" t="n">
        <x:v>4083.19</x:v>
      </x:c>
      <x:c r="F21" s="20" t="n">
        <x:v>35502.01</x:v>
      </x:c>
      <x:c r="G21" s="31" t="n">
        <x:f>E21/C21</x:f>
        <x:v>1.5924643242969185</x:v>
      </x:c>
      <x:c r="H21" s="31" t="n">
        <x:f>IF(F21="","",F21/C21)</x:f>
        <x:v>13.845959743688745</x:v>
      </x:c>
    </x:row>
    <x:row r="24" ht="22" customHeight="1">
      <x:c r="A24" s="6" t="str">
        <x:v>Raytraverse stage-resolved timing (Fig. 18a)</x:v>
      </x:c>
      <x:c r="B24" s="6"/>
      <x:c r="C24" s="6"/>
    </x:row>
    <x:row r="25" ht="30" customHeight="1">
      <x:c r="A25" s="14" t="str">
        <x:v>BSDF_format</x:v>
      </x:c>
      <x:c r="B25" s="14" t="str">
        <x:v>stage</x:v>
      </x:c>
      <x:c r="C25" s="14" t="str">
        <x:v>seconds</x:v>
      </x:c>
    </x:row>
    <x:row r="26">
      <x:c r="A26" s="18" t="str">
        <x:v>TensorTree</x:v>
      </x:c>
      <x:c r="B26" s="18" t="str">
        <x:v>scene</x:v>
      </x:c>
      <x:c r="C26" s="20" t="n">
        <x:v>1.7</x:v>
      </x:c>
    </x:row>
    <x:row r="27">
      <x:c r="A27" s="18" t="str">
        <x:v>TensorTree</x:v>
      </x:c>
      <x:c r="B27" s="18" t="str">
        <x:v>skyrun</x:v>
      </x:c>
      <x:c r="C27" s="20" t="n">
        <x:v>129.306</x:v>
      </x:c>
    </x:row>
    <x:row r="28">
      <x:c r="A28" s="18" t="str">
        <x:v>TensorTree</x:v>
      </x:c>
      <x:c r="B28" s="18" t="str">
        <x:v>sunrun</x:v>
      </x:c>
      <x:c r="C28" s="20" t="n">
        <x:v>2547.806</x:v>
      </x:c>
    </x:row>
    <x:row r="29">
      <x:c r="A29" s="18" t="str">
        <x:v>TensorTree</x:v>
      </x:c>
      <x:c r="B29" s="18" t="str">
        <x:v>evaluate</x:v>
      </x:c>
      <x:c r="C29" s="20" t="n">
        <x:v>16.573</x:v>
      </x:c>
    </x:row>
    <x:row r="30">
      <x:c r="A30" s="18" t="str">
        <x:v>TensorTree</x:v>
      </x:c>
      <x:c r="B30" s="18" t="str">
        <x:v>total</x:v>
      </x:c>
      <x:c r="C30" s="20" t="n">
        <x:v>2695.43</x:v>
      </x:c>
    </x:row>
    <x:row r="31">
      <x:c r="A31" s="18" t="str">
        <x:v>Klems</x:v>
      </x:c>
      <x:c r="B31" s="18" t="str">
        <x:v>scene</x:v>
      </x:c>
      <x:c r="C31" s="20" t="n">
        <x:v>2.233</x:v>
      </x:c>
    </x:row>
    <x:row r="32">
      <x:c r="A32" s="18" t="str">
        <x:v>Klems</x:v>
      </x:c>
      <x:c r="B32" s="18" t="str">
        <x:v>skyrun</x:v>
      </x:c>
      <x:c r="C32" s="20" t="n">
        <x:v>4.353</x:v>
      </x:c>
    </x:row>
    <x:row r="33">
      <x:c r="A33" s="18" t="str">
        <x:v>Klems</x:v>
      </x:c>
      <x:c r="B33" s="18" t="str">
        <x:v>sunrun</x:v>
      </x:c>
      <x:c r="C33" s="20" t="n">
        <x:v>117.944</x:v>
      </x:c>
    </x:row>
    <x:row r="34">
      <x:c r="A34" s="18" t="str">
        <x:v>Klems</x:v>
      </x:c>
      <x:c r="B34" s="18" t="str">
        <x:v>evaluate</x:v>
      </x:c>
      <x:c r="C34" s="20" t="n">
        <x:v>6.548</x:v>
      </x:c>
    </x:row>
    <x:row r="35">
      <x:c r="A35" s="18" t="str">
        <x:v>Klems</x:v>
      </x:c>
      <x:c r="B35" s="18" t="str">
        <x:v>total</x:v>
      </x:c>
      <x:c r="C35" s="20" t="n">
        <x:v>131.121</x:v>
      </x:c>
    </x:row>
    <x:row r="38" ht="22" customHeight="1">
      <x:c r="A38" s="6" t="str">
        <x:v>Total annual-workflow timing (Fig. 18b)</x:v>
      </x:c>
      <x:c r="B38" s="6"/>
      <x:c r="C38" s="6"/>
      <x:c r="D38" s="6"/>
      <x:c r="E38" s="6"/>
    </x:row>
    <x:row r="39" ht="38" customHeight="1">
      <x:c r="A39" s="14" t="str">
        <x:v>method</x:v>
      </x:c>
      <x:c r="B39" s="14" t="str">
        <x:v>BSDF_format</x:v>
      </x:c>
      <x:c r="C39" s="14" t="str">
        <x:v>total_seconds</x:v>
      </x:c>
      <x:c r="D39" s="14" t="str">
        <x:v>scope</x:v>
      </x:c>
      <x:c r="E39" s="14" t="str">
        <x:v>Speed-up vs EIGCM</x:v>
      </x:c>
    </x:row>
    <x:row r="40">
      <x:c r="A40" s="18" t="str">
        <x:v>Raytraverse</x:v>
      </x:c>
      <x:c r="B40" s="18" t="str">
        <x:v>Klems</x:v>
      </x:c>
      <x:c r="C40" s="20" t="n">
        <x:v>131.121</x:v>
      </x:c>
      <x:c r="D40" s="18" t="str">
        <x:v>scene+skyrun+sunrun+evaluate</x:v>
      </x:c>
      <x:c r="E40" s="32" t="n">
        <x:f>C40/C42</x:f>
        <x:v>4.879102478231749</x:v>
      </x:c>
    </x:row>
    <x:row r="41">
      <x:c r="A41" s="18" t="str">
        <x:v>Raytraverse</x:v>
      </x:c>
      <x:c r="B41" s="18" t="str">
        <x:v>TensorTree</x:v>
      </x:c>
      <x:c r="C41" s="20" t="n">
        <x:v>2695.43</x:v>
      </x:c>
      <x:c r="D41" s="18" t="str">
        <x:v>scene+skyrun+sunrun+evaluate</x:v>
      </x:c>
      <x:c r="E41" s="32" t="n">
        <x:f>C41/C43</x:f>
        <x:v>41.90004663454065</x:v>
      </x:c>
    </x:row>
    <x:row r="42">
      <x:c r="A42" s="18" t="str">
        <x:v>EIGCM</x:v>
      </x:c>
      <x:c r="B42" s="18" t="str">
        <x:v>Klems</x:v>
      </x:c>
      <x:c r="C42" s="20" t="n">
        <x:v>26.874</x:v>
      </x:c>
      <x:c r="D42" s="18" t="str">
        <x:v>annual workflow; excludes one-time 5.960 s preprocessing</x:v>
      </x:c>
      <x:c r="E42" s="32"/>
    </x:row>
    <x:row r="43">
      <x:c r="A43" s="18" t="str">
        <x:v>EIGCM</x:v>
      </x:c>
      <x:c r="B43" s="18" t="str">
        <x:v>TensorTree</x:v>
      </x:c>
      <x:c r="C43" s="20" t="n">
        <x:v>64.33</x:v>
      </x:c>
      <x:c r="D43" s="18" t="str">
        <x:v>historical annual workflow using earlier specular-processing implementation</x:v>
      </x:c>
      <x:c r="E43" s="32"/>
    </x:row>
  </x:sheetData>
  <x:mergeCells>
    <x:mergeCell ref="A1:H1"/>
    <x:mergeCell ref="A2:H2"/>
    <x:mergeCell ref="A4:H4"/>
    <x:mergeCell ref="A16:H16"/>
    <x:mergeCell ref="A24:C24"/>
    <x:mergeCell ref="A38:E3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9" hidden="0" customWidth="1"/>
    <x:col min="9" max="9" width="9" hidden="0" customWidth="1"/>
    <x:col min="10" max="10" width="9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8" customHeight="1">
      <x:c r="A1" s="2" t="str">
        <x:v>Sharp-peak prismatic fenestration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4" t="str">
        <x:v>Two-view metrics for Fig. 16; raw paired data are provided separately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 ht="22" customHeight="1">
      <x:c r="A4" s="6" t="str">
        <x:v>Method comparison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42" customHeight="1">
      <x:c r="A5" s="14" t="str">
        <x:v>scope</x:v>
      </x:c>
      <x:c r="B5" s="14" t="str">
        <x:v>method</x:v>
      </x:c>
      <x:c r="C5" s="14" t="str">
        <x:v>n</x:v>
      </x:c>
      <x:c r="D5" s="14" t="str">
        <x:v>MAE</x:v>
      </x:c>
      <x:c r="E5" s="14" t="str">
        <x:v>RMSE</x:v>
      </x:c>
      <x:c r="F5" s="14" t="str">
        <x:v>MBE</x:v>
      </x:c>
      <x:c r="G5" s="14" t="str">
        <x:v>CCC</x:v>
      </x:c>
      <x:c r="H5" s="14" t="str">
        <x:v>TP</x:v>
      </x:c>
      <x:c r="I5" s="14" t="str">
        <x:v>FP</x:v>
      </x:c>
      <x:c r="J5" s="14" t="str">
        <x:v>FN</x:v>
      </x:c>
      <x:c r="K5" s="14" t="str">
        <x:v>recall</x:v>
      </x:c>
      <x:c r="L5" s="14" t="str">
        <x:v>precision</x:v>
      </x:c>
      <x:c r="M5" s="14" t="str">
        <x:v>F2</x:v>
      </x:c>
    </x:row>
    <x:row r="6">
      <x:c r="A6" s="18" t="str">
        <x:v>Viewpoint 1</x:v>
      </x:c>
      <x:c r="B6" s="18" t="str">
        <x:v>EIGCM (MF1)</x:v>
      </x:c>
      <x:c r="C6" s="21" t="n">
        <x:v>4393</x:v>
      </x:c>
      <x:c r="D6" s="22" t="n">
        <x:v>0.016882733211928</x:v>
      </x:c>
      <x:c r="E6" s="22" t="n">
        <x:v>0.0411011979144742</x:v>
      </x:c>
      <x:c r="F6" s="22" t="n">
        <x:v>-0.0049176461188254</x:v>
      </x:c>
      <x:c r="G6" s="22" t="n">
        <x:v>0.9855950739778532</x:v>
      </x:c>
      <x:c r="H6" s="21" t="n">
        <x:v>1840</x:v>
      </x:c>
      <x:c r="I6" s="21" t="n">
        <x:v>40</x:v>
      </x:c>
      <x:c r="J6" s="21" t="n">
        <x:v>82</x:v>
      </x:c>
      <x:c r="K6" s="22" t="n">
        <x:v>0.9573361082206036</x:v>
      </x:c>
      <x:c r="L6" s="22" t="n">
        <x:v>0.9787234042553192</x:v>
      </x:c>
      <x:c r="M6" s="22" t="n">
        <x:v>0.9615384615384616</x:v>
      </x:c>
    </x:row>
    <x:row r="7">
      <x:c r="A7" s="18" t="str">
        <x:v>Viewpoint 1</x:v>
      </x:c>
      <x:c r="B7" s="18" t="str">
        <x:v>Jones dcglare</x:v>
      </x:c>
      <x:c r="C7" s="21" t="n">
        <x:v>4393</x:v>
      </x:c>
      <x:c r="D7" s="22" t="n">
        <x:v>0.0276558658665437</x:v>
      </x:c>
      <x:c r="E7" s="22" t="n">
        <x:v>0.0658720942958098</x:v>
      </x:c>
      <x:c r="F7" s="22" t="n">
        <x:v>-0.0032369873691586</x:v>
      </x:c>
      <x:c r="G7" s="22" t="n">
        <x:v>0.966065097250589</x:v>
      </x:c>
      <x:c r="H7" s="21" t="n">
        <x:v>1821</x:v>
      </x:c>
      <x:c r="I7" s="21" t="n">
        <x:v>43</x:v>
      </x:c>
      <x:c r="J7" s="21" t="n">
        <x:v>101</x:v>
      </x:c>
      <x:c r="K7" s="22" t="n">
        <x:v>0.9474505723204996</x:v>
      </x:c>
      <x:c r="L7" s="22" t="n">
        <x:v>0.976931330472103</x:v>
      </x:c>
      <x:c r="M7" s="22" t="n">
        <x:v>0.9532035175879398</x:v>
      </x:c>
    </x:row>
    <x:row r="8">
      <x:c r="A8" s="18" t="str">
        <x:v>Viewpoint 1</x:v>
      </x:c>
      <x:c r="B8" s="18" t="str">
        <x:v>Raytraverse Balanced</x:v>
      </x:c>
      <x:c r="C8" s="21" t="n">
        <x:v>4393</x:v>
      </x:c>
      <x:c r="D8" s="22" t="n">
        <x:v>0.0449750946741878</x:v>
      </x:c>
      <x:c r="E8" s="22" t="n">
        <x:v>0.1221576981633992</x:v>
      </x:c>
      <x:c r="F8" s="22" t="n">
        <x:v>-0.0351652079804944</x:v>
      </x:c>
      <x:c r="G8" s="22" t="n">
        <x:v>0.8465608093760754</x:v>
      </x:c>
      <x:c r="H8" s="21" t="n">
        <x:v>1774</x:v>
      </x:c>
      <x:c r="I8" s="21" t="n">
        <x:v>32</x:v>
      </x:c>
      <x:c r="J8" s="21" t="n">
        <x:v>148</x:v>
      </x:c>
      <x:c r="K8" s="22" t="n">
        <x:v>0.922996878251821</x:v>
      </x:c>
      <x:c r="L8" s="22" t="n">
        <x:v>0.982281284606866</x:v>
      </x:c>
      <x:c r="M8" s="22" t="n">
        <x:v>0.934274278491679</x:v>
      </x:c>
    </x:row>
    <x:row r="9">
      <x:c r="A9" s="18" t="str">
        <x:v>Viewpoint 2</x:v>
      </x:c>
      <x:c r="B9" s="18" t="str">
        <x:v>EIGCM (MF1)</x:v>
      </x:c>
      <x:c r="C9" s="21" t="n">
        <x:v>4393</x:v>
      </x:c>
      <x:c r="D9" s="22" t="n">
        <x:v>0.009584157546096</x:v>
      </x:c>
      <x:c r="E9" s="22" t="n">
        <x:v>0.0250790756899629</x:v>
      </x:c>
      <x:c r="F9" s="22" t="n">
        <x:v>0.0038674776462554</x:v>
      </x:c>
      <x:c r="G9" s="22" t="n">
        <x:v>0.9945872096576338</x:v>
      </x:c>
      <x:c r="H9" s="21" t="n">
        <x:v>2279</x:v>
      </x:c>
      <x:c r="I9" s="21" t="n">
        <x:v>26</x:v>
      </x:c>
      <x:c r="J9" s="21" t="n">
        <x:v>44</x:v>
      </x:c>
      <x:c r="K9" s="22" t="n">
        <x:v>0.9810589754627635</x:v>
      </x:c>
      <x:c r="L9" s="22" t="n">
        <x:v>0.9887201735357918</x:v>
      </x:c>
      <x:c r="M9" s="22" t="n">
        <x:v>0.9825817021643528</x:v>
      </x:c>
    </x:row>
    <x:row r="10">
      <x:c r="A10" s="18" t="str">
        <x:v>Viewpoint 2</x:v>
      </x:c>
      <x:c r="B10" s="18" t="str">
        <x:v>Jones dcglare</x:v>
      </x:c>
      <x:c r="C10" s="21" t="n">
        <x:v>4393</x:v>
      </x:c>
      <x:c r="D10" s="22" t="n">
        <x:v>0.0244654012842678</x:v>
      </x:c>
      <x:c r="E10" s="22" t="n">
        <x:v>0.0583233884156309</x:v>
      </x:c>
      <x:c r="F10" s="22" t="n">
        <x:v>0.0030577158863171</x:v>
      </x:c>
      <x:c r="G10" s="22" t="n">
        <x:v>0.9727436270171396</x:v>
      </x:c>
      <x:c r="H10" s="21" t="n">
        <x:v>2265</x:v>
      </x:c>
      <x:c r="I10" s="21" t="n">
        <x:v>24</x:v>
      </x:c>
      <x:c r="J10" s="21" t="n">
        <x:v>58</x:v>
      </x:c>
      <x:c r="K10" s="22" t="n">
        <x:v>0.9750322858372794</x:v>
      </x:c>
      <x:c r="L10" s="22" t="n">
        <x:v>0.9895150720838796</x:v>
      </x:c>
      <x:c r="M10" s="22" t="n">
        <x:v>0.9778948277350832</x:v>
      </x:c>
    </x:row>
    <x:row r="11">
      <x:c r="A11" s="18" t="str">
        <x:v>Viewpoint 2</x:v>
      </x:c>
      <x:c r="B11" s="18" t="str">
        <x:v>Raytraverse Balanced</x:v>
      </x:c>
      <x:c r="C11" s="21" t="n">
        <x:v>4393</x:v>
      </x:c>
      <x:c r="D11" s="22" t="n">
        <x:v>0.0224832441210864</x:v>
      </x:c>
      <x:c r="E11" s="22" t="n">
        <x:v>0.067314346279214</x:v>
      </x:c>
      <x:c r="F11" s="22" t="n">
        <x:v>-0.014101055249877</x:v>
      </x:c>
      <x:c r="G11" s="22" t="n">
        <x:v>0.9571546597086364</x:v>
      </x:c>
      <x:c r="H11" s="21" t="n">
        <x:v>2228</x:v>
      </x:c>
      <x:c r="I11" s="21" t="n">
        <x:v>9</x:v>
      </x:c>
      <x:c r="J11" s="21" t="n">
        <x:v>95</x:v>
      </x:c>
      <x:c r="K11" s="22" t="n">
        <x:v>0.9591046061127853</x:v>
      </x:c>
      <x:c r="L11" s="22" t="n">
        <x:v>0.9959767545820296</x:v>
      </x:c>
      <x:c r="M11" s="22" t="n">
        <x:v>0.9662589990458844</x:v>
      </x:c>
    </x:row>
    <x:row r="12">
      <x:c r="A12" s="18" t="str">
        <x:v>Pooled</x:v>
      </x:c>
      <x:c r="B12" s="18" t="str">
        <x:v>EIGCM (MF1)</x:v>
      </x:c>
      <x:c r="C12" s="21" t="n">
        <x:v>8786</x:v>
      </x:c>
      <x:c r="D12" s="22" t="n">
        <x:v>0.013233445379012</x:v>
      </x:c>
      <x:c r="E12" s="22" t="n">
        <x:v>0.0340460607667588</x:v>
      </x:c>
      <x:c r="F12" s="22" t="n">
        <x:v>-0.0005250842362849</x:v>
      </x:c>
      <x:c r="G12" s="22" t="n">
        <x:v>0.9901182378700252</x:v>
      </x:c>
      <x:c r="H12" s="21" t="n">
        <x:v>4119</x:v>
      </x:c>
      <x:c r="I12" s="21" t="n">
        <x:v>66</x:v>
      </x:c>
      <x:c r="J12" s="21" t="n">
        <x:v>126</x:v>
      </x:c>
      <x:c r="K12" s="22" t="n">
        <x:v>0.9703180212014134</x:v>
      </x:c>
      <x:c r="L12" s="22" t="n">
        <x:v>0.9842293906810036</x:v>
      </x:c>
      <x:c r="M12" s="22" t="n">
        <x:v>0.9730687455705171</x:v>
      </x:c>
    </x:row>
    <x:row r="13">
      <x:c r="A13" s="18" t="str">
        <x:v>Pooled</x:v>
      </x:c>
      <x:c r="B13" s="18" t="str">
        <x:v>Jones dcglare</x:v>
      </x:c>
      <x:c r="C13" s="21" t="n">
        <x:v>8786</x:v>
      </x:c>
      <x:c r="D13" s="22" t="n">
        <x:v>0.0260606335754058</x:v>
      </x:c>
      <x:c r="E13" s="22" t="n">
        <x:v>0.0622123397855948</x:v>
      </x:c>
      <x:c r="F13" s="22" t="n">
        <x:v>-0.00008963574142073526</x:v>
      </x:c>
      <x:c r="G13" s="22" t="n">
        <x:v>0.9694912891494476</x:v>
      </x:c>
      <x:c r="H13" s="21" t="n">
        <x:v>4086</x:v>
      </x:c>
      <x:c r="I13" s="21" t="n">
        <x:v>67</x:v>
      </x:c>
      <x:c r="J13" s="21" t="n">
        <x:v>159</x:v>
      </x:c>
      <x:c r="K13" s="22" t="n">
        <x:v>0.9625441696113074</x:v>
      </x:c>
      <x:c r="L13" s="22" t="n">
        <x:v>0.9838670840356368</x:v>
      </x:c>
      <x:c r="M13" s="22" t="n">
        <x:v>0.9667344910803009</x:v>
      </x:c>
    </x:row>
    <x:row r="14">
      <x:c r="A14" s="18" t="str">
        <x:v>Pooled</x:v>
      </x:c>
      <x:c r="B14" s="18" t="str">
        <x:v>Raytraverse Balanced</x:v>
      </x:c>
      <x:c r="C14" s="21" t="n">
        <x:v>8786</x:v>
      </x:c>
      <x:c r="D14" s="22" t="n">
        <x:v>0.0337291693976371</x:v>
      </x:c>
      <x:c r="E14" s="22" t="n">
        <x:v>0.0986248559836162</x:v>
      </x:c>
      <x:c r="F14" s="22" t="n">
        <x:v>-0.0246331316151857</x:v>
      </x:c>
      <x:c r="G14" s="22" t="n">
        <x:v>0.9048727790181118</x:v>
      </x:c>
      <x:c r="H14" s="21" t="n">
        <x:v>4002</x:v>
      </x:c>
      <x:c r="I14" s="21" t="n">
        <x:v>41</x:v>
      </x:c>
      <x:c r="J14" s="21" t="n">
        <x:v>243</x:v>
      </x:c>
      <x:c r="K14" s="22" t="n">
        <x:v>0.942756183745583</x:v>
      </x:c>
      <x:c r="L14" s="22" t="n">
        <x:v>0.9898590155824882</x:v>
      </x:c>
      <x:c r="M14" s="22" t="n">
        <x:v>0.9518146791609188</x:v>
      </x:c>
    </x:row>
    <x:row r="16" ht="32" customHeight="1">
      <x:c r="A16" s="25" t="str">
        <x:v>The Fig. 16 case is a separate sharp-peak prismatic system and is not the main C2 case.</x:v>
      </x:c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</x:row>
  </x:sheetData>
  <x:mergeCells>
    <x:mergeCell ref="A1:M1"/>
    <x:mergeCell ref="A2:M2"/>
    <x:mergeCell ref="A4:M4"/>
    <x:mergeCell ref="A16:M1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12" hidden="0" customWidth="1"/>
    <x:col min="4" max="4" width="12" hidden="0" customWidth="1"/>
    <x:col min="5" max="5" width="70" hidden="0" customWidth="1"/>
  </x:cols>
  <x:sheetData>
    <x:row r="1" ht="28" customHeight="1">
      <x:c r="A1" s="2" t="str">
        <x:v>Machine-readable source-data map</x:v>
      </x:c>
      <x:c r="B1" s="2"/>
      <x:c r="C1" s="2"/>
      <x:c r="D1" s="2"/>
      <x:c r="E1" s="2"/>
    </x:row>
    <x:row r="2" ht="22" customHeight="1">
      <x:c r="A2" s="4" t="str">
        <x:v>CSV files included with the workbook and their manuscript coverage</x:v>
      </x:c>
      <x:c r="B2" s="4"/>
      <x:c r="C2" s="4"/>
      <x:c r="D2" s="4"/>
      <x:c r="E2" s="4"/>
    </x:row>
    <x:row r="4" ht="22" customHeight="1">
      <x:c r="A4" s="6" t="str">
        <x:v>CSV inventory</x:v>
      </x:c>
      <x:c r="B4" s="6"/>
      <x:c r="C4" s="6"/>
      <x:c r="D4" s="6"/>
      <x:c r="E4" s="6"/>
    </x:row>
    <x:row r="5" ht="34" customHeight="1">
      <x:c r="A5" s="14" t="str">
        <x:v>related_item</x:v>
      </x:c>
      <x:c r="B5" s="14" t="str">
        <x:v>file</x:v>
      </x:c>
      <x:c r="C5" s="14" t="str">
        <x:v>rows</x:v>
      </x:c>
      <x:c r="D5" s="14" t="str">
        <x:v>columns</x:v>
      </x:c>
      <x:c r="E5" s="14" t="str">
        <x:v>description</x:v>
      </x:c>
    </x:row>
    <x:row r="6">
      <x:c r="A6" s="18" t="str">
        <x:v>Figs. 6-9</x:v>
      </x:c>
      <x:c r="B6" s="18" t="str">
        <x:v>fig06-09_two_view_dgp_source.csv</x:v>
      </x:c>
      <x:c r="C6" s="21" t="n">
        <x:v>35127</x:v>
      </x:c>
      <x:c r="D6" s="21" t="n">
        <x:v>9</x:v>
      </x:c>
      <x:c r="E6" s="18" t="str">
        <x:v>Raw paired annual DGP values</x:v>
      </x:c>
    </x:row>
    <x:row r="7">
      <x:c r="A7" s="18" t="str">
        <x:v>Figs. 6-10</x:v>
      </x:c>
      <x:c r="B7" s="18" t="str">
        <x:v>fig06-10_two_view_dgp_metrics.csv</x:v>
      </x:c>
      <x:c r="C7" s="21" t="n">
        <x:v>15</x:v>
      </x:c>
      <x:c r="D7" s="21" t="n">
        <x:v>14</x:v>
      </x:c>
      <x:c r="E7" s="18" t="str">
        <x:v>Exact two-view accuracy metrics</x:v>
      </x:c>
    </x:row>
    <x:row r="8">
      <x:c r="A8" s="18" t="str">
        <x:v>Figs. 10-13 and 17</x:v>
      </x:c>
      <x:c r="B8" s="18" t="str">
        <x:v>fig10-13_multiview_dgp_source.csv</x:v>
      </x:c>
      <x:c r="C8" s="21" t="n">
        <x:v>74880</x:v>
      </x:c>
      <x:c r="D8" s="21" t="n">
        <x:v>13</x:v>
      </x:c>
      <x:c r="E8" s="18" t="str">
        <x:v>Aligned 520-view DGP and vertical illuminance</x:v>
      </x:c>
    </x:row>
    <x:row r="9">
      <x:c r="A9" s="18" t="str">
        <x:v>Fig. 10</x:v>
      </x:c>
      <x:c r="B9" s="18" t="str">
        <x:v>fig10_multiview_dgp_metrics.csv</x:v>
      </x:c>
      <x:c r="C9" s="21" t="n">
        <x:v>15</x:v>
      </x:c>
      <x:c r="D9" s="21" t="n">
        <x:v>16</x:v>
      </x:c>
      <x:c r="E9" s="18" t="str">
        <x:v>Exact 520-view accuracy metrics</x:v>
      </x:c>
    </x:row>
    <x:row r="10">
      <x:c r="A10" s="18" t="str">
        <x:v>Fig. 11</x:v>
      </x:c>
      <x:c r="B10" s="18" t="str">
        <x:v>fig11_event_metrics.csv</x:v>
      </x:c>
      <x:c r="C10" s="21" t="n">
        <x:v>30</x:v>
      </x:c>
      <x:c r="D10" s="21" t="n">
        <x:v>12</x:v>
      </x:c>
      <x:c r="E10" s="18" t="str">
        <x:v>Two-view and 520-view event metrics</x:v>
      </x:c>
    </x:row>
    <x:row r="11">
      <x:c r="A11" s="18" t="str">
        <x:v>Fig. 12</x:v>
      </x:c>
      <x:c r="B11" s="18" t="str">
        <x:v>fig12_stratified_dgp_metrics.csv</x:v>
      </x:c>
      <x:c r="C11" s="21" t="n">
        <x:v>60</x:v>
      </x:c>
      <x:c r="D11" s="21" t="n">
        <x:v>16</x:v>
      </x:c>
      <x:c r="E11" s="18" t="str">
        <x:v>Exact stratified errors and bin counts</x:v>
      </x:c>
    </x:row>
    <x:row r="12">
      <x:c r="A12" s="18" t="str">
        <x:v>Fig. 13</x:v>
      </x:c>
      <x:c r="B12" s="18" t="str">
        <x:v>fig13_viewpoint_rmse.csv</x:v>
      </x:c>
      <x:c r="C12" s="21" t="n">
        <x:v>7800</x:v>
      </x:c>
      <x:c r="D12" s="21" t="n">
        <x:v>5</x:v>
      </x:c>
      <x:c r="E12" s="18" t="str">
        <x:v>RMSE for each method and viewpoint</x:v>
      </x:c>
    </x:row>
    <x:row r="13">
      <x:c r="A13" s="18" t="str">
        <x:v>Fig. 14</x:v>
      </x:c>
      <x:c r="B13" s="18" t="str">
        <x:v>fig14_contrast_source.csv</x:v>
      </x:c>
      <x:c r="C13" s="21" t="n">
        <x:v>35127</x:v>
      </x:c>
      <x:c r="D13" s="21" t="n">
        <x:v>10</x:v>
      </x:c>
      <x:c r="E13" s="18" t="str">
        <x:v>Raw two-view contrast-index values</x:v>
      </x:c>
    </x:row>
    <x:row r="14">
      <x:c r="A14" s="18" t="str">
        <x:v>Fig. 14</x:v>
      </x:c>
      <x:c r="B14" s="18" t="str">
        <x:v>fig14_contrast_metrics.csv</x:v>
      </x:c>
      <x:c r="C14" s="21" t="n">
        <x:v>4</x:v>
      </x:c>
      <x:c r="D14" s="21" t="n">
        <x:v>20</x:v>
      </x:c>
      <x:c r="E14" s="18" t="str">
        <x:v>Exact low- and high-contrast metrics</x:v>
      </x:c>
    </x:row>
    <x:row r="15">
      <x:c r="A15" s="18" t="str">
        <x:v>Fig. 15 and Table 5</x:v>
      </x:c>
      <x:c r="B15" s="18" t="str">
        <x:v>table05_fig15_solar_sampling_metrics.csv</x:v>
      </x:c>
      <x:c r="C15" s="21" t="n">
        <x:v>15</x:v>
      </x:c>
      <x:c r="D15" s="21" t="n">
        <x:v>11</x:v>
      </x:c>
      <x:c r="E15" s="18" t="str">
        <x:v>Raytraverse solar-sampling metrics</x:v>
      </x:c>
    </x:row>
    <x:row r="16">
      <x:c r="A16" s="18" t="str">
        <x:v>Fig. 16</x:v>
      </x:c>
      <x:c r="B16" s="18" t="str">
        <x:v>fig16_sharp_prism_source.csv</x:v>
      </x:c>
      <x:c r="C16" s="21" t="n">
        <x:v>8786</x:v>
      </x:c>
      <x:c r="D16" s="21" t="n">
        <x:v>10</x:v>
      </x:c>
      <x:c r="E16" s="18" t="str">
        <x:v>Raw paired two-view DGP and Ev values</x:v>
      </x:c>
    </x:row>
    <x:row r="17">
      <x:c r="A17" s="18" t="str">
        <x:v>Fig. 16</x:v>
      </x:c>
      <x:c r="B17" s="18" t="str">
        <x:v>fig16_sharp_prism_metrics.csv</x:v>
      </x:c>
      <x:c r="C17" s="21" t="n">
        <x:v>9</x:v>
      </x:c>
      <x:c r="D17" s="21" t="n">
        <x:v>13</x:v>
      </x:c>
      <x:c r="E17" s="18" t="str">
        <x:v>Exact regression and event metrics</x:v>
      </x:c>
    </x:row>
    <x:row r="18">
      <x:c r="A18" s="18" t="str">
        <x:v>Fig. 17</x:v>
      </x:c>
      <x:c r="B18" s="18" t="str">
        <x:v>fig17_saturation_source.csv</x:v>
      </x:c>
      <x:c r="C18" s="21" t="n">
        <x:v>56160</x:v>
      </x:c>
      <x:c r="D18" s="21" t="n">
        <x:v>8</x:v>
      </x:c>
      <x:c r="E18" s="18" t="str">
        <x:v>Raw reference DGP and illuminance-only DGPs</x:v>
      </x:c>
    </x:row>
    <x:row r="19">
      <x:c r="A19" s="18" t="str">
        <x:v>Fig. 17</x:v>
      </x:c>
      <x:c r="B19" s="18" t="str">
        <x:v>fig17_saturation_metrics.csv</x:v>
      </x:c>
      <x:c r="C19" s="21" t="n">
        <x:v>3</x:v>
      </x:c>
      <x:c r="D19" s="21" t="n">
        <x:v>9</x:v>
      </x:c>
      <x:c r="E19" s="18" t="str">
        <x:v>Exact saturation-term metrics</x:v>
      </x:c>
    </x:row>
    <x:row r="20">
      <x:c r="A20" s="18" t="str">
        <x:v>Fig. 17</x:v>
      </x:c>
      <x:c r="B20" s="18" t="str">
        <x:v>fig17_vertical_illuminance_metrics.csv</x:v>
      </x:c>
      <x:c r="C20" s="21" t="n">
        <x:v>6</x:v>
      </x:c>
      <x:c r="D20" s="21" t="n">
        <x:v>10</x:v>
      </x:c>
      <x:c r="E20" s="18" t="str">
        <x:v>Exact vertical-eye-illuminance metrics</x:v>
      </x:c>
    </x:row>
    <x:row r="21">
      <x:c r="A21" s="18" t="str">
        <x:v>Table 3</x:v>
      </x:c>
      <x:c r="B21" s="18" t="str">
        <x:v>table03_single_view_runtime.csv</x:v>
      </x:c>
      <x:c r="C21" s="21" t="n">
        <x:v>8</x:v>
      </x:c>
      <x:c r="D21" s="21" t="n">
        <x:v>6</x:v>
      </x:c>
      <x:c r="E21" s="18" t="str">
        <x:v>Reported single-view runtimes</x:v>
      </x:c>
    </x:row>
    <x:row r="22">
      <x:c r="A22" s="18" t="str">
        <x:v>Table 4</x:v>
      </x:c>
      <x:c r="B22" s="18" t="str">
        <x:v>table04_multiview_runtime.csv</x:v>
      </x:c>
      <x:c r="C22" s="21" t="n">
        <x:v>4</x:v>
      </x:c>
      <x:c r="D22" s="21" t="n">
        <x:v>6</x:v>
      </x:c>
      <x:c r="E22" s="18" t="str">
        <x:v>Reported 520-view runtimes</x:v>
      </x:c>
    </x:row>
    <x:row r="23">
      <x:c r="A23" s="18" t="str">
        <x:v>Fig. 18</x:v>
      </x:c>
      <x:c r="B23" s="18" t="str">
        <x:v>fig18_bsdf_runtime_stages.csv</x:v>
      </x:c>
      <x:c r="C23" s="21" t="n">
        <x:v>10</x:v>
      </x:c>
      <x:c r="D23" s="21" t="n">
        <x:v>3</x:v>
      </x:c>
      <x:c r="E23" s="18" t="str">
        <x:v>Stage-resolved Raytraverse timing</x:v>
      </x:c>
    </x:row>
    <x:row r="24">
      <x:c r="A24" s="18" t="str">
        <x:v>Fig. 18</x:v>
      </x:c>
      <x:c r="B24" s="18" t="str">
        <x:v>fig18_bsdf_runtime_totals.csv</x:v>
      </x:c>
      <x:c r="C24" s="21" t="n">
        <x:v>4</x:v>
      </x:c>
      <x:c r="D24" s="21" t="n">
        <x:v>4</x:v>
      </x:c>
      <x:c r="E24" s="18" t="str">
        <x:v>Total Raytraverse and EIGCM timing</x:v>
      </x:c>
    </x:row>
  </x:sheetData>
  <x:mergeCells>
    <x:mergeCell ref="A1:E1"/>
    <x:mergeCell ref="A2:E2"/>
    <x:mergeCell ref="A4:E4"/>
  </x:mergeCells>
  <x:pageMargins left="0.7" right="0.7" top="0.75" bottom="0.75" header="0.3" footer="0.3"/>
</x:worksheet>
</file>